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zhaoxiaoyu\Documents\finical\finical-report\"/>
    </mc:Choice>
  </mc:AlternateContent>
  <xr:revisionPtr revIDLastSave="0" documentId="13_ncr:1_{2492B82F-0581-495F-9F10-B94C682F94A5}" xr6:coauthVersionLast="47" xr6:coauthVersionMax="47" xr10:uidLastSave="{00000000-0000-0000-0000-000000000000}"/>
  <bookViews>
    <workbookView xWindow="-110" yWindow="-110" windowWidth="25820" windowHeight="13900" activeTab="1" xr2:uid="{00000000-000D-0000-FFFF-FFFF00000000}"/>
  </bookViews>
  <sheets>
    <sheet name="PDD 财报" sheetId="1" r:id="rId1"/>
    <sheet name="sea 财报V2" sheetId="2" r:id="rId2"/>
    <sheet name="小鹏汽车" sheetId="3" r:id="rId3"/>
    <sheet name="BTCS" sheetId="4" r:id="rId4"/>
    <sheet name="MicroStrategy" sheetId="5" r:id="rId5"/>
    <sheet name="GTBIF财报" sheetId="6" r:id="rId6"/>
    <sheet name="SIA财报" sheetId="7" r:id="rId7"/>
    <sheet name="Tencent财报" sheetId="8" r:id="rId8"/>
    <sheet name="DOUYU财报" sheetId="9" r:id="rId9"/>
    <sheet name="coinbase" sheetId="10" r:id="rId10"/>
    <sheet name="Bitdeer 财报" sheetId="11" r:id="rId11"/>
  </sheets>
  <calcPr calcId="191029"/>
</workbook>
</file>

<file path=xl/calcChain.xml><?xml version="1.0" encoding="utf-8"?>
<calcChain xmlns="http://schemas.openxmlformats.org/spreadsheetml/2006/main">
  <c r="F95" i="2" l="1"/>
  <c r="E95" i="2"/>
  <c r="D95" i="2"/>
  <c r="C95" i="2"/>
  <c r="B34" i="10"/>
  <c r="B33" i="10"/>
  <c r="E12" i="10"/>
  <c r="B12" i="10"/>
  <c r="E4" i="10"/>
  <c r="E13" i="10" s="1"/>
  <c r="E16" i="10" s="1"/>
  <c r="E18" i="10" s="1"/>
  <c r="B4" i="10"/>
  <c r="B13" i="10" s="1"/>
  <c r="B16" i="10" s="1"/>
  <c r="B18" i="10" s="1"/>
  <c r="C29" i="9"/>
  <c r="B29" i="9"/>
  <c r="G24" i="9"/>
  <c r="F24" i="9"/>
  <c r="E24" i="9"/>
  <c r="G22" i="9"/>
  <c r="D22" i="9"/>
  <c r="C22" i="9"/>
  <c r="C25" i="9" s="1"/>
  <c r="G21" i="9"/>
  <c r="D21" i="9"/>
  <c r="C21" i="9"/>
  <c r="B11" i="9"/>
  <c r="B15" i="9" s="1"/>
  <c r="B18" i="9" s="1"/>
  <c r="C10" i="9"/>
  <c r="B10" i="9"/>
  <c r="C4" i="9"/>
  <c r="C11" i="9" s="1"/>
  <c r="C15" i="9" s="1"/>
  <c r="C18" i="9" s="1"/>
  <c r="B4" i="9"/>
  <c r="B5" i="9" s="1"/>
  <c r="D33" i="8"/>
  <c r="C33" i="8"/>
  <c r="J30" i="8"/>
  <c r="I30" i="8"/>
  <c r="H30" i="8"/>
  <c r="G30" i="8"/>
  <c r="F30" i="8"/>
  <c r="E30" i="8"/>
  <c r="D30" i="8"/>
  <c r="D34" i="8" s="1"/>
  <c r="C30" i="8"/>
  <c r="C34" i="8" s="1"/>
  <c r="I22" i="8"/>
  <c r="H22" i="8"/>
  <c r="G22" i="8"/>
  <c r="J18" i="8"/>
  <c r="J20" i="8" s="1"/>
  <c r="J14" i="8"/>
  <c r="H14" i="8"/>
  <c r="H18" i="8" s="1"/>
  <c r="H20" i="8" s="1"/>
  <c r="G14" i="8"/>
  <c r="G18" i="8" s="1"/>
  <c r="G20" i="8" s="1"/>
  <c r="F14" i="8"/>
  <c r="F18" i="8" s="1"/>
  <c r="F20" i="8" s="1"/>
  <c r="J9" i="8"/>
  <c r="H9" i="8"/>
  <c r="G9" i="8"/>
  <c r="F9" i="8"/>
  <c r="C9" i="8"/>
  <c r="J8" i="8"/>
  <c r="H8" i="8"/>
  <c r="G8" i="8"/>
  <c r="F8" i="8"/>
  <c r="E8" i="8"/>
  <c r="E14" i="8" s="1"/>
  <c r="E18" i="8" s="1"/>
  <c r="E20" i="8" s="1"/>
  <c r="D8" i="8"/>
  <c r="D14" i="8" s="1"/>
  <c r="D18" i="8" s="1"/>
  <c r="D20" i="8" s="1"/>
  <c r="C8" i="8"/>
  <c r="C14" i="8" s="1"/>
  <c r="C18" i="8" s="1"/>
  <c r="C20" i="8" s="1"/>
  <c r="E22" i="8" s="1"/>
  <c r="E23" i="8" s="1"/>
  <c r="B7" i="8"/>
  <c r="K6" i="8"/>
  <c r="K8" i="8" s="1"/>
  <c r="J6" i="8"/>
  <c r="I6" i="8"/>
  <c r="I8" i="8" s="1"/>
  <c r="H6" i="8"/>
  <c r="G6" i="8"/>
  <c r="F6" i="8"/>
  <c r="E6" i="8"/>
  <c r="D6" i="8"/>
  <c r="C6" i="8"/>
  <c r="B6" i="8"/>
  <c r="C22" i="7"/>
  <c r="B22" i="7"/>
  <c r="C7" i="7"/>
  <c r="C4" i="7"/>
  <c r="C6" i="7" s="1"/>
  <c r="B4" i="7"/>
  <c r="B7" i="7" s="1"/>
  <c r="B39" i="6"/>
  <c r="B34" i="6"/>
  <c r="B26" i="6"/>
  <c r="B35" i="6" s="1"/>
  <c r="F11" i="6"/>
  <c r="F13" i="6" s="1"/>
  <c r="F15" i="6" s="1"/>
  <c r="F7" i="6"/>
  <c r="B7" i="6"/>
  <c r="F4" i="6"/>
  <c r="F8" i="6" s="1"/>
  <c r="F9" i="6" s="1"/>
  <c r="B4" i="6"/>
  <c r="B8" i="6" s="1"/>
  <c r="B11" i="6" s="1"/>
  <c r="B13" i="6" s="1"/>
  <c r="B15" i="6" s="1"/>
  <c r="B4" i="5"/>
  <c r="N2" i="5"/>
  <c r="C2" i="5" s="1"/>
  <c r="D2" i="5"/>
  <c r="B2" i="5"/>
  <c r="G14" i="4"/>
  <c r="C7" i="4"/>
  <c r="C6" i="4"/>
  <c r="F2" i="4"/>
  <c r="D2" i="4" s="1"/>
  <c r="B2" i="4"/>
  <c r="C46" i="3"/>
  <c r="C48" i="3" s="1"/>
  <c r="C50" i="3" s="1"/>
  <c r="B46" i="3"/>
  <c r="B48" i="3" s="1"/>
  <c r="B50" i="3" s="1"/>
  <c r="I29" i="3"/>
  <c r="G29" i="3"/>
  <c r="F27" i="3"/>
  <c r="F26" i="3"/>
  <c r="E26" i="3"/>
  <c r="E27" i="3" s="1"/>
  <c r="D26" i="3"/>
  <c r="D27" i="3" s="1"/>
  <c r="C26" i="3"/>
  <c r="C27" i="3" s="1"/>
  <c r="B26" i="3"/>
  <c r="B27" i="3" s="1"/>
  <c r="F25" i="3"/>
  <c r="E25" i="3"/>
  <c r="D25" i="3"/>
  <c r="F24" i="3"/>
  <c r="E24" i="3"/>
  <c r="D24" i="3"/>
  <c r="C24" i="3"/>
  <c r="C25" i="3" s="1"/>
  <c r="B24" i="3"/>
  <c r="B25" i="3" s="1"/>
  <c r="F21" i="3"/>
  <c r="E21" i="3"/>
  <c r="D21" i="3"/>
  <c r="C21" i="3"/>
  <c r="B21" i="3"/>
  <c r="F19" i="3"/>
  <c r="E19" i="3"/>
  <c r="D19" i="3"/>
  <c r="C19" i="3"/>
  <c r="B19" i="3"/>
  <c r="F18" i="3"/>
  <c r="E18" i="3"/>
  <c r="D18" i="3"/>
  <c r="C18" i="3"/>
  <c r="B18" i="3"/>
  <c r="C15" i="3"/>
  <c r="F13" i="3"/>
  <c r="E13" i="3"/>
  <c r="D13" i="3"/>
  <c r="C13" i="3"/>
  <c r="B13" i="3"/>
  <c r="F12" i="3"/>
  <c r="F11" i="3"/>
  <c r="E11" i="3"/>
  <c r="D11" i="3"/>
  <c r="C11" i="3"/>
  <c r="B11" i="3"/>
  <c r="F10" i="3"/>
  <c r="E10" i="3"/>
  <c r="D10" i="3"/>
  <c r="F9" i="3"/>
  <c r="E9" i="3"/>
  <c r="E12" i="3" s="1"/>
  <c r="D9" i="3"/>
  <c r="D12" i="3" s="1"/>
  <c r="C9" i="3"/>
  <c r="C10" i="3" s="1"/>
  <c r="B9" i="3"/>
  <c r="B10" i="3" s="1"/>
  <c r="F6" i="3"/>
  <c r="F14" i="3" s="1"/>
  <c r="E6" i="3"/>
  <c r="E14" i="3" s="1"/>
  <c r="D6" i="3"/>
  <c r="D14" i="3" s="1"/>
  <c r="C6" i="3"/>
  <c r="C14" i="3" s="1"/>
  <c r="C20" i="3" s="1"/>
  <c r="C22" i="3" s="1"/>
  <c r="B6" i="3"/>
  <c r="B14" i="3" s="1"/>
  <c r="F4" i="3"/>
  <c r="E4" i="3"/>
  <c r="D4" i="3"/>
  <c r="C4" i="3"/>
  <c r="B4" i="3"/>
  <c r="F103" i="2"/>
  <c r="F105" i="2" s="1"/>
  <c r="E103" i="2"/>
  <c r="E105" i="2" s="1"/>
  <c r="D103" i="2"/>
  <c r="D105" i="2" s="1"/>
  <c r="C103" i="2"/>
  <c r="C105" i="2" s="1"/>
  <c r="F93" i="2"/>
  <c r="F94" i="2" s="1"/>
  <c r="E93" i="2"/>
  <c r="D93" i="2"/>
  <c r="C93" i="2"/>
  <c r="F85" i="2"/>
  <c r="E85" i="2"/>
  <c r="D85" i="2"/>
  <c r="C85" i="2"/>
  <c r="F73" i="2"/>
  <c r="E73" i="2"/>
  <c r="D73" i="2"/>
  <c r="C73" i="2"/>
  <c r="F63" i="2"/>
  <c r="F74" i="2" s="1"/>
  <c r="E63" i="2"/>
  <c r="D63" i="2"/>
  <c r="C63" i="2"/>
  <c r="F51" i="2"/>
  <c r="E51" i="2"/>
  <c r="D51" i="2"/>
  <c r="C51" i="2"/>
  <c r="D36" i="2"/>
  <c r="C36" i="2"/>
  <c r="F31" i="2"/>
  <c r="F35" i="2" s="1"/>
  <c r="E31" i="2"/>
  <c r="E35" i="2" s="1"/>
  <c r="D31" i="2"/>
  <c r="D37" i="2" s="1"/>
  <c r="C31" i="2"/>
  <c r="F18" i="2"/>
  <c r="F24" i="2" s="1"/>
  <c r="E18" i="2"/>
  <c r="E24" i="2" s="1"/>
  <c r="D18" i="2"/>
  <c r="D24" i="2" s="1"/>
  <c r="C18" i="2"/>
  <c r="C24" i="2" s="1"/>
  <c r="F17" i="2"/>
  <c r="F23" i="2" s="1"/>
  <c r="E17" i="2"/>
  <c r="E23" i="2" s="1"/>
  <c r="D17" i="2"/>
  <c r="D23" i="2" s="1"/>
  <c r="C17" i="2"/>
  <c r="C23" i="2" s="1"/>
  <c r="F16" i="2"/>
  <c r="F22" i="2" s="1"/>
  <c r="E16" i="2"/>
  <c r="E22" i="2" s="1"/>
  <c r="D16" i="2"/>
  <c r="D22" i="2" s="1"/>
  <c r="C16" i="2"/>
  <c r="C22" i="2" s="1"/>
  <c r="F15" i="2"/>
  <c r="F21" i="2" s="1"/>
  <c r="E15" i="2"/>
  <c r="E21" i="2" s="1"/>
  <c r="D15" i="2"/>
  <c r="D21" i="2" s="1"/>
  <c r="C15" i="2"/>
  <c r="C21" i="2" s="1"/>
  <c r="F14" i="2"/>
  <c r="F20" i="2" s="1"/>
  <c r="E14" i="2"/>
  <c r="E20" i="2" s="1"/>
  <c r="D14" i="2"/>
  <c r="D20" i="2" s="1"/>
  <c r="C14" i="2"/>
  <c r="C20" i="2" s="1"/>
  <c r="F13" i="2"/>
  <c r="E13" i="2"/>
  <c r="D13" i="2"/>
  <c r="D19" i="2" s="1"/>
  <c r="C13" i="2"/>
  <c r="F7" i="2"/>
  <c r="F36" i="2" s="1"/>
  <c r="E7" i="2"/>
  <c r="D7" i="2"/>
  <c r="C7" i="2"/>
  <c r="M60" i="1"/>
  <c r="D60" i="1"/>
  <c r="L59" i="1"/>
  <c r="I59" i="1"/>
  <c r="C59" i="1"/>
  <c r="N57" i="1"/>
  <c r="M57" i="1"/>
  <c r="M59" i="1" s="1"/>
  <c r="L57" i="1"/>
  <c r="K57" i="1"/>
  <c r="K59" i="1" s="1"/>
  <c r="J57" i="1"/>
  <c r="J59" i="1" s="1"/>
  <c r="I57" i="1"/>
  <c r="H57" i="1"/>
  <c r="H59" i="1" s="1"/>
  <c r="G57" i="1"/>
  <c r="G59" i="1" s="1"/>
  <c r="F57" i="1"/>
  <c r="F59" i="1" s="1"/>
  <c r="E57" i="1"/>
  <c r="E59" i="1" s="1"/>
  <c r="D57" i="1"/>
  <c r="D59" i="1" s="1"/>
  <c r="C57" i="1"/>
  <c r="B57" i="1"/>
  <c r="B59" i="1" s="1"/>
  <c r="O49" i="1"/>
  <c r="I49" i="1"/>
  <c r="I60" i="1" s="1"/>
  <c r="H49" i="1"/>
  <c r="G49" i="1"/>
  <c r="F49" i="1"/>
  <c r="C49" i="1"/>
  <c r="C60" i="1" s="1"/>
  <c r="O48" i="1"/>
  <c r="N48" i="1"/>
  <c r="M48" i="1"/>
  <c r="L48" i="1"/>
  <c r="K48" i="1"/>
  <c r="J48" i="1"/>
  <c r="J49" i="1" s="1"/>
  <c r="O42" i="1"/>
  <c r="N42" i="1"/>
  <c r="N49" i="1" s="1"/>
  <c r="M42" i="1"/>
  <c r="M49" i="1" s="1"/>
  <c r="L42" i="1"/>
  <c r="L49" i="1" s="1"/>
  <c r="L60" i="1" s="1"/>
  <c r="K42" i="1"/>
  <c r="K49" i="1" s="1"/>
  <c r="K60" i="1" s="1"/>
  <c r="J42" i="1"/>
  <c r="I42" i="1"/>
  <c r="H42" i="1"/>
  <c r="G42" i="1"/>
  <c r="F42" i="1"/>
  <c r="E42" i="1"/>
  <c r="E49" i="1" s="1"/>
  <c r="E60" i="1" s="1"/>
  <c r="D42" i="1"/>
  <c r="D49" i="1" s="1"/>
  <c r="C42" i="1"/>
  <c r="B42" i="1"/>
  <c r="B49" i="1" s="1"/>
  <c r="H31" i="1"/>
  <c r="J30" i="1"/>
  <c r="I30" i="1"/>
  <c r="N28" i="1"/>
  <c r="S24" i="1"/>
  <c r="R24" i="1"/>
  <c r="Q24" i="1"/>
  <c r="P24" i="1"/>
  <c r="O24" i="1"/>
  <c r="N24" i="1"/>
  <c r="M24" i="1"/>
  <c r="L24" i="1"/>
  <c r="K24" i="1"/>
  <c r="J24" i="1"/>
  <c r="I24" i="1"/>
  <c r="H24" i="1"/>
  <c r="G24" i="1"/>
  <c r="F24" i="1"/>
  <c r="E24" i="1"/>
  <c r="D24" i="1"/>
  <c r="C24" i="1"/>
  <c r="B24" i="1"/>
  <c r="N18" i="1"/>
  <c r="N21" i="1" s="1"/>
  <c r="N27" i="1" s="1"/>
  <c r="K18" i="1"/>
  <c r="K21" i="1" s="1"/>
  <c r="K27" i="1" s="1"/>
  <c r="K28" i="1" s="1"/>
  <c r="B18" i="1"/>
  <c r="B21" i="1" s="1"/>
  <c r="B25" i="1" s="1"/>
  <c r="P12" i="1"/>
  <c r="P13" i="1" s="1"/>
  <c r="O12" i="1"/>
  <c r="O18" i="1" s="1"/>
  <c r="O21" i="1" s="1"/>
  <c r="N12" i="1"/>
  <c r="N13" i="1" s="1"/>
  <c r="M12" i="1"/>
  <c r="M13" i="1" s="1"/>
  <c r="L12" i="1"/>
  <c r="L13" i="1" s="1"/>
  <c r="K12" i="1"/>
  <c r="K13" i="1" s="1"/>
  <c r="B12" i="1"/>
  <c r="B13" i="1" s="1"/>
  <c r="S11" i="1"/>
  <c r="R11" i="1"/>
  <c r="Q11" i="1"/>
  <c r="P11" i="1"/>
  <c r="O11" i="1"/>
  <c r="N11" i="1"/>
  <c r="M11" i="1"/>
  <c r="L11" i="1"/>
  <c r="K11" i="1"/>
  <c r="J11" i="1"/>
  <c r="I11" i="1"/>
  <c r="H11" i="1"/>
  <c r="G11" i="1"/>
  <c r="F11" i="1"/>
  <c r="E11" i="1"/>
  <c r="D11" i="1"/>
  <c r="C11" i="1"/>
  <c r="B11" i="1"/>
  <c r="P7" i="1"/>
  <c r="O7" i="1"/>
  <c r="N7" i="1"/>
  <c r="M7" i="1"/>
  <c r="L7" i="1"/>
  <c r="K7" i="1"/>
  <c r="B7" i="1"/>
  <c r="S6" i="1"/>
  <c r="S12" i="1" s="1"/>
  <c r="R6" i="1"/>
  <c r="R12" i="1" s="1"/>
  <c r="Q6" i="1"/>
  <c r="P6" i="1"/>
  <c r="O6" i="1"/>
  <c r="N6" i="1"/>
  <c r="M6" i="1"/>
  <c r="L6" i="1"/>
  <c r="K6" i="1"/>
  <c r="J6" i="1"/>
  <c r="J12" i="1" s="1"/>
  <c r="I6" i="1"/>
  <c r="I12" i="1" s="1"/>
  <c r="H6" i="1"/>
  <c r="E6" i="1"/>
  <c r="J4" i="1"/>
  <c r="I4" i="1"/>
  <c r="H4" i="1"/>
  <c r="G4" i="1"/>
  <c r="G6" i="1" s="1"/>
  <c r="F4" i="1"/>
  <c r="F6" i="1" s="1"/>
  <c r="E4" i="1"/>
  <c r="D4" i="1"/>
  <c r="D6" i="1" s="1"/>
  <c r="C4" i="1"/>
  <c r="C6" i="1" s="1"/>
  <c r="B4" i="1"/>
  <c r="B6" i="1" s="1"/>
  <c r="E25" i="9" l="1"/>
  <c r="B6" i="5"/>
  <c r="E6" i="4"/>
  <c r="E74" i="2"/>
  <c r="C94" i="2"/>
  <c r="E38" i="2"/>
  <c r="C106" i="2"/>
  <c r="C74" i="2"/>
  <c r="E94" i="2"/>
  <c r="C19" i="2"/>
  <c r="C25" i="2" s="1"/>
  <c r="C37" i="2"/>
  <c r="E106" i="2"/>
  <c r="F106" i="2"/>
  <c r="D94" i="2"/>
  <c r="D106" i="2" s="1"/>
  <c r="F38" i="2"/>
  <c r="D35" i="2"/>
  <c r="D38" i="2" s="1"/>
  <c r="F37" i="2"/>
  <c r="C35" i="2"/>
  <c r="C38" i="2" s="1"/>
  <c r="D74" i="2"/>
  <c r="F25" i="9"/>
  <c r="D25" i="9" s="1"/>
  <c r="H23" i="8"/>
  <c r="H24" i="8" s="1"/>
  <c r="F24" i="8" s="1"/>
  <c r="B5" i="5"/>
  <c r="G23" i="8"/>
  <c r="F19" i="6"/>
  <c r="F18" i="6"/>
  <c r="F20" i="3"/>
  <c r="F22" i="3" s="1"/>
  <c r="F15" i="3"/>
  <c r="H12" i="1"/>
  <c r="H7" i="1"/>
  <c r="I18" i="1"/>
  <c r="I21" i="1" s="1"/>
  <c r="I13" i="1"/>
  <c r="F60" i="1"/>
  <c r="B30" i="1"/>
  <c r="J18" i="1"/>
  <c r="J21" i="1" s="1"/>
  <c r="J13" i="1"/>
  <c r="G60" i="1"/>
  <c r="E36" i="2"/>
  <c r="E19" i="2"/>
  <c r="I14" i="8"/>
  <c r="I18" i="8" s="1"/>
  <c r="I20" i="8" s="1"/>
  <c r="I9" i="8"/>
  <c r="C12" i="1"/>
  <c r="C7" i="1"/>
  <c r="K25" i="1"/>
  <c r="H60" i="1"/>
  <c r="K29" i="3"/>
  <c r="S18" i="1"/>
  <c r="S21" i="1" s="1"/>
  <c r="S13" i="1"/>
  <c r="B27" i="1"/>
  <c r="E20" i="3"/>
  <c r="E22" i="3" s="1"/>
  <c r="E15" i="3"/>
  <c r="K31" i="1"/>
  <c r="L30" i="1"/>
  <c r="L31" i="1" s="1"/>
  <c r="L32" i="1" s="1"/>
  <c r="D7" i="1"/>
  <c r="D12" i="1"/>
  <c r="B19" i="6"/>
  <c r="B18" i="6"/>
  <c r="R18" i="1"/>
  <c r="R21" i="1" s="1"/>
  <c r="R13" i="1"/>
  <c r="E12" i="1"/>
  <c r="E7" i="1"/>
  <c r="B40" i="6"/>
  <c r="B36" i="6"/>
  <c r="B41" i="6" s="1"/>
  <c r="N25" i="1"/>
  <c r="K9" i="8"/>
  <c r="K14" i="8"/>
  <c r="K18" i="8" s="1"/>
  <c r="K20" i="8" s="1"/>
  <c r="B22" i="1"/>
  <c r="D25" i="2"/>
  <c r="F12" i="1"/>
  <c r="F7" i="1"/>
  <c r="O27" i="1"/>
  <c r="O28" i="1" s="1"/>
  <c r="O25" i="1"/>
  <c r="O22" i="1"/>
  <c r="K22" i="1"/>
  <c r="J60" i="1"/>
  <c r="G12" i="1"/>
  <c r="G7" i="1"/>
  <c r="N22" i="1"/>
  <c r="B15" i="3"/>
  <c r="B20" i="3"/>
  <c r="B22" i="3" s="1"/>
  <c r="E29" i="3"/>
  <c r="E30" i="3" s="1"/>
  <c r="E37" i="2"/>
  <c r="Q12" i="1"/>
  <c r="Q7" i="1"/>
  <c r="D20" i="3"/>
  <c r="D22" i="3" s="1"/>
  <c r="D15" i="3"/>
  <c r="B9" i="6"/>
  <c r="L18" i="1"/>
  <c r="L21" i="1" s="1"/>
  <c r="D9" i="8"/>
  <c r="M18" i="1"/>
  <c r="M21" i="1" s="1"/>
  <c r="B8" i="8"/>
  <c r="E9" i="8"/>
  <c r="C5" i="9"/>
  <c r="P18" i="1"/>
  <c r="P21" i="1" s="1"/>
  <c r="R7" i="1"/>
  <c r="F5" i="6"/>
  <c r="S7" i="1"/>
  <c r="F19" i="2"/>
  <c r="B12" i="3"/>
  <c r="B6" i="7"/>
  <c r="B5" i="6"/>
  <c r="C12" i="3"/>
  <c r="I7" i="1"/>
  <c r="O13" i="1"/>
  <c r="J7" i="1"/>
  <c r="D44" i="2" l="1"/>
  <c r="D48" i="2" s="1"/>
  <c r="C44" i="2"/>
  <c r="C48" i="2" s="1"/>
  <c r="F23" i="8"/>
  <c r="F22" i="8"/>
  <c r="C13" i="1"/>
  <c r="C18" i="1"/>
  <c r="C21" i="1" s="1"/>
  <c r="R25" i="1"/>
  <c r="R22" i="1"/>
  <c r="R27" i="1"/>
  <c r="R28" i="1" s="1"/>
  <c r="E18" i="1"/>
  <c r="E21" i="1" s="1"/>
  <c r="E13" i="1"/>
  <c r="P27" i="1"/>
  <c r="P28" i="1" s="1"/>
  <c r="P25" i="1"/>
  <c r="P22" i="1"/>
  <c r="F18" i="1"/>
  <c r="F21" i="1" s="1"/>
  <c r="F13" i="1"/>
  <c r="M27" i="1"/>
  <c r="M28" i="1" s="1"/>
  <c r="M25" i="1"/>
  <c r="M22" i="1"/>
  <c r="H18" i="1"/>
  <c r="H21" i="1" s="1"/>
  <c r="H13" i="1"/>
  <c r="L27" i="1"/>
  <c r="L28" i="1" s="1"/>
  <c r="L25" i="1"/>
  <c r="L22" i="1"/>
  <c r="J25" i="1"/>
  <c r="J22" i="1"/>
  <c r="J27" i="1"/>
  <c r="J28" i="1" s="1"/>
  <c r="D13" i="1"/>
  <c r="D18" i="1"/>
  <c r="D21" i="1" s="1"/>
  <c r="Q18" i="1"/>
  <c r="Q21" i="1" s="1"/>
  <c r="Q13" i="1"/>
  <c r="I25" i="1"/>
  <c r="I22" i="1"/>
  <c r="I27" i="1"/>
  <c r="I28" i="1" s="1"/>
  <c r="E44" i="2"/>
  <c r="E48" i="2" s="1"/>
  <c r="E25" i="2"/>
  <c r="B28" i="1"/>
  <c r="G18" i="1"/>
  <c r="G21" i="1" s="1"/>
  <c r="G13" i="1"/>
  <c r="S25" i="1"/>
  <c r="S22" i="1"/>
  <c r="S27" i="1"/>
  <c r="S28" i="1" s="1"/>
  <c r="E31" i="3"/>
  <c r="K30" i="3"/>
  <c r="F44" i="2"/>
  <c r="F48" i="2" s="1"/>
  <c r="F25" i="2"/>
  <c r="I45" i="2" l="1"/>
  <c r="E25" i="1"/>
  <c r="E22" i="1"/>
  <c r="E27" i="1"/>
  <c r="E28" i="1" s="1"/>
  <c r="I46" i="2"/>
  <c r="H25" i="1"/>
  <c r="H22" i="1"/>
  <c r="H27" i="1"/>
  <c r="H28" i="1" s="1"/>
  <c r="D27" i="1"/>
  <c r="D28" i="1" s="1"/>
  <c r="D22" i="1"/>
  <c r="D25" i="1"/>
  <c r="G25" i="1"/>
  <c r="G22" i="1"/>
  <c r="G27" i="1"/>
  <c r="G28" i="1" s="1"/>
  <c r="Q25" i="1"/>
  <c r="Q22" i="1"/>
  <c r="Q27" i="1"/>
  <c r="Q28" i="1" s="1"/>
  <c r="C27" i="1"/>
  <c r="C25" i="1"/>
  <c r="C22" i="1"/>
  <c r="B31" i="1"/>
  <c r="H33" i="1"/>
  <c r="F25" i="1"/>
  <c r="F22" i="1"/>
  <c r="F27" i="1"/>
  <c r="F28" i="1" s="1"/>
  <c r="C28" i="1" l="1"/>
  <c r="H32" i="1" s="1"/>
  <c r="K32" i="1" s="1"/>
  <c r="H34" i="1"/>
  <c r="K34" i="1" s="1"/>
  <c r="H30" i="1"/>
  <c r="K30" i="1" s="1"/>
  <c r="I33" i="1"/>
  <c r="K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tc={e0c1a9d6-ea86-4dc4-a891-1a73fddd367f}</author>
    <author>tc={710c1d83-618e-48a8-b8b3-46c797e5155c}</author>
    <author>tc={be04bdd9-0c8a-41b4-84d1-103960a94df7}</author>
    <author>tc={66aadef2-c80b-4ca8-b9ab-3ea6d16330b0}</author>
    <author>tc={99115599-6473-4852-b5bf-39cf4c9247ed}</author>
    <author>tc={7d55775e-e8fd-4ca8-98d8-2d5209d1cc14}</author>
    <author>tc={01adaa6c-bb78-408d-b94c-0d74b8221825}</author>
    <author>tc={34585345-5a83-4c04-bfa6-9eb87665ad46}</author>
    <author>tc={9f4ef163-b7a5-4360-9dfd-4a978b1edf2a}</author>
    <author>tc={05ec72aa-9f22-4102-bce8-429cf84a88c7}</author>
    <author>tc={297aa581-6a70-44b9-aac9-5556ae2e4fd6}</author>
    <author>tc={a1b83ccf-8f55-4a9a-8576-a9c58849293c}</author>
    <author>tc={6b110e3e-be3a-41b7-a2ce-296cef121dfe}</author>
    <author>tc={a79db32b-336d-4d29-8a33-01f605250aee}</author>
    <author>tc={09613b17-4f60-475f-b523-043da6811380}</author>
    <author>tc={67a0f626-342f-4651-82c8-5a4cc7526f8a}</author>
    <author>tc={3d29a1c9-9a5e-47cc-9b3d-82ab17ee7de2}</author>
    <author>tc={7a89b7b5-cfa8-4457-bb79-b37bc8c3e62e}</author>
    <author>tc={d8a11973-5fd1-4c0b-8c0a-221d7acb3b58}</author>
    <author>tc={1ea983d7-7f31-4dcf-9b44-a6398a668be9}</author>
    <author>tc={6494bd75-3a9b-448f-9526-454460112e79}</author>
    <author>tc={a1d08190-705a-4d91-8ffa-d4d2067136c3}</author>
    <author>tc={56ad84d8-e66d-474f-a40a-dde9eb2a0f91}</author>
  </authors>
  <commentList>
    <comment ref="A1" authorId="0" shapeId="0" xr:uid="{00000000-0006-0000-0000-000001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半年报
</t>
        </r>
      </text>
    </comment>
    <comment ref="A2" authorId="1" shapeId="0" xr:uid="{00000000-0006-0000-0000-000002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在线营销服务 (Online Marketing Services)
定义:
这类服务通常包括广告、促销活动以及其他线上推广活动，旨在帮助商家吸引更多的消费者和提升品牌知名度。
收入来源:
广告收入：商家支付广告费用来展示他们的产品或服务。
佣金收入：电商平台可以通过为商家提供促销工具和数据分析服务来收取佣金。
成本结构:
主要成本包括广告投放成本、技术支持成本以及营销人员成本。
业务特点:
收入波动性较大，受季节性和市场营销活动的影响明显。
强调用户流量的获取和转化率的提高。
</t>
        </r>
      </text>
    </comment>
    <comment ref="A3" authorId="2" shapeId="0" xr:uid="{00000000-0006-0000-0000-000003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交易服务 (Transaction Services)
定义:
这类服务直接与商品和服务的销售交易相关，包括支付处理、物流、订单管理等环节。
收入来源:
交易佣金：平台从每笔交易中收取一定比例的佣金。
服务费：提供额外的物流、仓储、支付处理等服务所收取的费用。
成本结构:
主要成本包括物流成本、支付处理费用、仓储成本以及订单处理成本。
业务特点:
收入相对稳定，受季节性影响较小。
强调交易量和订单处理效率的提升。
</t>
        </r>
      </text>
    </comment>
    <comment ref="A4" authorId="3" shapeId="0" xr:uid="{00000000-0006-0000-0000-000004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电商平台（如 PDD）的 Cost of Revenues 主要包含以下几类，都是为了促成交易必须发生的“运营硬成本”：
物流与履约成本：仓储、拣货、包装、国际运输、清关、退货处理，是最大头。
支付手续费：银行卡、支付渠道（如 Stripe、PayPal、支付宝）收取的交易费用。
服务器与带宽成本：CDN、云服务器、数据存储、机房费用。
客服与售后成本：客服人力、AI 系统、退款和售后处理。
商家补贴或运费补贴（部分平台会计入）：如运费补贴、活动补贴。
整体来说，这些成本会随着交易量和用户规模的增长而同步增长，不是“进货成本”，而是平台为保证交易完成所必须支付的基础运营成本。
</t>
        </r>
      </text>
    </comment>
    <comment ref="A8" authorId="4" shapeId="0" xr:uid="{00000000-0006-0000-0000-000005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"Sales and marketing expenses"（销售和市场营销费用）是企业在其营运过程中用于推动产品或服务销售和提升品牌知名度的各项开支。这些费用一般出现在公司财务报表的损益表（Income Statement）上，通常作为运营费用（Operating Expenses）的一部分。
具体到各项费用，可能包括但不限于以下几点：
广告费用: 这包括线上和线下广告的费用，如社交媒体广告、电视广告、杂志广告等。
推广费用: 产品推介、优惠券、折扣等的成本。
销售团队的薪资和提成: 通常销售团队除了基本工资外，还可能有基于销售额或其他业绩指标的提成。
公关费用: 这包括与媒体关系和品牌形象有关的各项费用。
市场调研和数据分析: 了解市场需求，消费者行为等需要一定的资金投入。
展览和会议: 参加行业展览、会议和其他商业活动通常也需要一定的费用。
旅行和招待费用: 如果销售团队需要外出与客户会面或进行产品演示，这通常也会产生费用。
物料和样品: 用于展示或赠送给潜在客户的产品样品或宣传物料。
技术支持和客户服务: 这虽然不总是直接归类为销售和市场营销费用，但它们有助于提升客户满意度，从而可能间接地推动销售。
其他与销售和市场营销相关的一般和管理费用。
</t>
        </r>
      </text>
    </comment>
    <comment ref="A9" authorId="5" shapeId="0" xr:uid="{00000000-0006-0000-0000-000006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管理和行政费用
</t>
        </r>
      </text>
    </comment>
    <comment ref="A15" authorId="6" shapeId="0" xr:uid="{00000000-0006-0000-0000-000007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借款利息支出
</t>
        </r>
      </text>
    </comment>
    <comment ref="A16" authorId="7" shapeId="0" xr:uid="{00000000-0006-0000-0000-000008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外汇收益/损失
</t>
        </r>
      </text>
    </comment>
    <comment ref="A17" authorId="8" shapeId="0" xr:uid="{00000000-0006-0000-0000-000009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Other Income, Net"（其他净收入）在公司的财务报表中通常指那些不属于公司日常经营活动的收入和支出的净额。这可能包括多种类型的非经常性或不规则的收入和支出。
其他净收入可能包括以下一些项目：
投资收益：如股票或债券的股息或利息收入，或者出售投资所得的资本利得。
外汇收益或损失：由于汇率波动产生的盈利或亏损。
出售资产所得：例如，公司可能出售不再需要的设备、地产或其他固定资产，并从中获得收益。
罚款和罚款收入：公司可能需要支付的罚款，或者公司可能从其他公司的违约行为中获得的罚款收入。
一次性收入或支出：这些可能包括合并与收购活动的费用、重组费用、破产费用或其他非经常性项目。
这些收入或支出被归入"其他"类别，是因为它们并不属于公司的核心经营业务。在评估公司的长期财务健康状况和盈利能力时，投资者和分析师通常会更加关注公司的主要营业活动，而不是其他净收入。然而，其他净收入仍然会影响公司的总体净利润，因此也是重要的财务指标之一。
</t>
        </r>
      </text>
    </comment>
    <comment ref="A19" authorId="9" shapeId="0" xr:uid="{00000000-0006-0000-0000-00000A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"Share of Results of Equity Investees"（合营公司和联营公司的利润份额）是指一家公司从其股权投资中获得的收益或损失份额。通常，这是指该公司持有的其他公司（即合营公司或联营公司）的一部分利润或损失。
</t>
        </r>
      </text>
    </comment>
    <comment ref="T33" authorId="10" shapeId="0" xr:uid="{00000000-0006-0000-0000-00000B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减去净资产后的市值 每股股价
</t>
        </r>
      </text>
    </comment>
    <comment ref="A38" authorId="11" shapeId="0" xr:uid="{00000000-0006-0000-0000-00000C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网上支付平台应收账款
</t>
        </r>
      </text>
    </comment>
    <comment ref="A40" authorId="12" shapeId="0" xr:uid="{00000000-0006-0000-0000-00000D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"Amounts due from related parties"是会计术语，是指在财务报表中，公司需要从关联方收取的款项。
</t>
        </r>
      </text>
    </comment>
    <comment ref="A41" authorId="13" shapeId="0" xr:uid="{00000000-0006-0000-0000-00000E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预付款项及其他流动资产 (Prepayments and Other Current Assets)
预付款项 (Prepayments)
定义:
预付款项是公司在获得服务或商品之前支付的款项。这些支付通常用于供应商、服务提供商等，以确保公司能够按时获得所需资源。
举例:
预付租金
预付广告费
预付给供应商的货款
应收款项 (Receivables)
定义:
应收款项指公司因销售商品或提供服务而应收取的款项，这些款项在未来一定时期内（通常是短期内）将会收回。
举例:
应收账款
其他应收款（如员工借款、押金等）
存货 (Inventories)
定义:
存货指公司在生产、销售过程中持有的商品或原材料，这些存货在未来会被销售或使用。
举例:
原材料
在产品
产成品
其他流动资产 (Other Current Assets)
定义:
其他流动资产是指不包括在上述类别中的短期资产，这些资产可以在一年内变现或使用。
举例:
短期投资
预付保险费
预付税费
</t>
        </r>
      </text>
    </comment>
    <comment ref="A44" authorId="14" shapeId="0" xr:uid="{00000000-0006-0000-0000-00000F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无形资产，专利之类的
</t>
        </r>
      </text>
    </comment>
    <comment ref="A45" authorId="15" shapeId="0" xr:uid="{00000000-0006-0000-0000-000010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"Right-of-use assets"（使用权资产）是一种会计概念，主要在租赁关系中出现，特别是在新的租赁会计准则（如IFRS 16和ASC 842）下。
</t>
        </r>
      </text>
    </comment>
    <comment ref="A50" authorId="16" shapeId="0" xr:uid="{00000000-0006-0000-0000-000011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应付关联方款项 (Amounts Due to Related Parties)
定义
应付关联方款项：指公司在正常业务过程中，因与关联方进行交易而产生的应付款项。这些交易可能包括采购商品或服务、借款、支付费用等。
举例
商业交易：
向关联方采购商品或服务而产生的应付款项。
为关联方提供商品或服务，随后关联方应支付的款项（在此处体现为应收关联方款项）。
借款：
公司从关联方借款而产生的应付账款。
公司提供贷款给关联方，随后关联方应偿还的款项（在此处体现为应收关联方款项）。
费用支付：
关联方代公司支付的一些费用，如租金、广告费等，公司需偿还这些费用。
在财报中的表现
资产负债表：
“应付关联方款项”通常会列在资产负债表的负债部分，通常在流动负债或长期负债中，根据款项的到期时间进行分类。
这部分负债反映了公司对关联方的财务义务。
</t>
        </r>
      </text>
    </comment>
    <comment ref="A51" authorId="17" shapeId="0" xr:uid="{00000000-0006-0000-0000-000012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是财务报表中的一项负债。
客户预付款（Customer Advances）：这是客户提前支付的款项，用于购买公司未来将提供的商品或服务。在提供商品或服务之前，这些款项被视为公司的负债，因为公司对客户有提供商品或服务的义务。只有当公司实际提供了商品或服务时，这些款项才能转变为收入。
递延收入（Deferred Revenues）：也称为未实现收入或预收收入，递延收入是公司已经收到或应收款项，但因为还未提供对应的商品或服务，所以不能将这些款项记录为收入。同样，这也是一项负债，因为公司还有提供商品或服务的义务。只有当商品或服务被提供时，递延收入才能被记入收入。
例如，一个软件公司可能在开始一年的服务期之前收取客户的订阅费用。这笔费用在服务提供期间被逐步记入收入，而在此之前则作为递延收入记录在负债中。
</t>
        </r>
      </text>
    </comment>
    <comment ref="A52" authorId="18" shapeId="0" xr:uid="{00000000-0006-0000-0000-000013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Payable to Merchants 主要指企业在交易过程中，代收了用户支付的款项，但尚未结算给商户的部分。例如：
</t>
        </r>
      </text>
    </comment>
    <comment ref="A53" authorId="19" shapeId="0" xr:uid="{00000000-0006-0000-0000-000014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"Accrued expenses and other liabilities"（应计费用和其他负债）是财务报表中的一项常见条目。
应计费用（Accrued Expenses）：应计费用是公司已经产生或消耗了某种服务或商品，但尚未收到发票或付款的费用。例如，公司可能已经使用了电力，但尚未收到当月的电费账单，这就形成了电力费用的应计。又如，公司员工已经工作了一段时间，但尚未发放工资，这就形成了应付工资的应计。这些都是公司的负债，因为公司需要在未来支付这些费用。
其他负债（Other Liabilities）：这是一个广泛的类别，包括不易分类或不常见的负债。这些可能包括递延收入，长期债务的当前部分，或其他特定的或非常规的负债。
这两项都是公司在财务报表中的负债，表示公司对外部债权人的未来支付义务。
</t>
        </r>
      </text>
    </comment>
    <comment ref="A54" authorId="20" shapeId="0" xr:uid="{00000000-0006-0000-0000-000015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商户存款 (Merchant Deposits)
定义
商户存款：指商家在电商平台上进行销售活动时，由电商平台暂时保管的资金。这些存款可能包括商家在平台上的销售收入、押金或预付款。
举例
销售收入：
当商家通过电商平台销售商品或服务时，平台会在一定期限内保管销售所得资金，直到交易完成并确认无误后，再将资金支付给商家。
押金：
为了确保商家遵守平台的规则和政策，电商平台可能要求商家支付一定的押金。这些押金通常会在商家退出平台或满足一定条件后退还。
预付款：
一些电商平台可能要求商家提前支付部分费用，以覆盖未来的交易成本或作为运营保障。
在财报中的表现
资产负债表：
商户存款通常会列在资产负债表的负债部分，具体分类可能是“应付账款”或“其他负债”，根据具体情况和会计政策进行处理。
这部分负债反映了电商平台对商家的财务义务
</t>
        </r>
      </text>
    </comment>
    <comment ref="A55" authorId="21" shapeId="0" xr:uid="{00000000-0006-0000-0000-000016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可转债流动部分
</t>
        </r>
      </text>
    </comment>
    <comment ref="A58" authorId="22" shapeId="0" xr:uid="{00000000-0006-0000-0000-000017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Non-current liabilities（非流动负债）：一年后才到期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tc={345e21a6-7944-4405-a07c-8957953dde74}</author>
  </authors>
  <commentList>
    <comment ref="B26" authorId="0" shapeId="0" xr:uid="{00000000-0006-0000-0100-000001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这笔收益具体是什么钱？
根据官方财报说明，这笔收益 主要是第三方物流服务商返还给 Shopee 的返利与折扣 (Rebates from e-commerce logistics services providers)。
实际业务场景： Shopee 平台上每天产生数以千万计的电商包裹。Shopee 将这些庞大的运送业务托付给合作的第三方快递物流公司（例如极兔速递 J&amp;T、Ninja Van 等）。由于 Shopee 带来的包裹量巨大，物流公司会根据包裹单量，按一定比例返还一部分佣金或提供折扣给 Shopee。 这部分返还回来的资金在财务上被定义为“其他营业收益”。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tc={02ed3149-84c1-4d89-9cdb-8e35bf79e42b}</author>
    <author>tc={a05359c4-5f74-4da0-9362-c60ae387efae}</author>
    <author>tc={17343c5d-34c8-42b4-a77a-16b2f953a87a}</author>
  </authors>
  <commentList>
    <comment ref="A40" authorId="0" shapeId="0" xr:uid="{00000000-0006-0000-0200-000001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应收账款和票据
</t>
        </r>
      </text>
    </comment>
    <comment ref="A42" authorId="1" shapeId="0" xr:uid="{00000000-0006-0000-0200-000002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存货
</t>
        </r>
      </text>
    </comment>
    <comment ref="A43" authorId="2" shapeId="0" xr:uid="{00000000-0006-0000-0200-000003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"Amounts due from related parties" 指的是与公司有关联关系的方欠公司的款项。这可以包括从关联公司、股东、关键管理人员或任何与公司有特殊关系的个体或组织之间的应收账款。这些款项可能来源于交易商品、提供服务、借款或其他形式的财务安排。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tc={5128615f-74d3-4940-9597-21bccbdba096}</author>
    <author>tc={091279b7-709c-407b-b14c-b4fc68cfbc86}</author>
    <author>tc={db4e1a81-1887-47f7-9b5a-1440f2ada1c0}</author>
    <author>tc={01df6bfc-5e81-480a-9f8d-cd53a438fe53}</author>
    <author>tc={ba5c7fbe-fbf1-4496-81d6-3b1e1027ce76}</author>
  </authors>
  <commentList>
    <comment ref="A6" authorId="0" shapeId="0" xr:uid="{00000000-0006-0000-0500-000001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"Selling, General, and Administrative" (SG&amp;A) expenses（销售、一般及管理费用）是财务报表上的一个重要项目，它包括了所有的销售费用、一般业务费用以及管理费用。这些开销是公司为了运营业务而必须支付的费用，不包括直接生产成本。
</t>
        </r>
      </text>
    </comment>
    <comment ref="A14" authorId="1" shapeId="0" xr:uid="{00000000-0006-0000-0500-000002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"Net Income Attributable to Non-Controlling Interest"（归属于非控股利益的净收入）是财务报表中的一项，指的是一家母公司所拥有的子公司产生的净收入中，属于非控股股东（也就是那些并未对子公司拥有控制权的股东）的部分。
例如，假设一个大公司A拥有一个小公司B的80%的股份，而剩下的20%的股份由其他投资者持有。在这种情况下，公司A是控股股东，而那些持有剩余20%股份的投资者就是非控股股东。如果公司B在一年内产生了100万元的净收入，那么其中20万元（即总净收入的20%）就会被记为归属于非控股利益的净收入。
这个概念在财务报表中很重要，因为它帮助投资者了解母公司的实际盈利能力。母公司并不能完全享有其子公司的全部利润，因此在计算母公司的净收入时，需要从总净收入中扣除归属于非控股利益的部分。
</t>
        </r>
      </text>
    </comment>
    <comment ref="A28" authorId="2" shapeId="0" xr:uid="{00000000-0006-0000-0500-000003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"Right of Use Assets, Net"（净使用权资产）是财务报表中的一项，表示公司根据租赁协议获得的使用权。这是由国际财务报告准则（IFRS 16）和美国公认会计原则（US GAAP ASC 842）中的新租赁会计准则引入的。
在新的租赁会计准则下，公司需要在财务报表的资产负债表中记录其租赁合同产生的使用权资产和相关的租赁负债。使用权资产基本上反映了公司根据租赁协议获得的权利，包括使用特定资产（如房地产、设备或车辆）的权利。
"净使用权资产"是指使用权资产的账面价值减去累计折旧和可能的减值。这个价值在租赁期间会随着折旧和/或减值的积累而逐渐减少。
这种租赁会计的变化使得公司的财务报告更加透明，使投资者和分析师能够更清楚地了解公司的财务状况和债务负担。但是，这也给公司的财务管理和报告带来了更大的复杂性。
</t>
        </r>
      </text>
    </comment>
    <comment ref="A29" authorId="3" shapeId="0" xr:uid="{00000000-0006-0000-0500-000004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vestments：这是一个广义的术语，可以包括公司对各种不同类型资产的投资，例如股票、债券、货币市场工具、对其他公司的股权投资（不论持股比例），以及对房地产、原材料等实物资产的投资。这些投资的会计处理方式可能会根据其具体性质和公司的会计政策而不同。例如，一些投资可能会按照公允价值计量，而其他投资则可能按照成本法或者权益法进行计量。
</t>
        </r>
      </text>
    </comment>
    <comment ref="A31" authorId="4" shapeId="0" xr:uid="{00000000-0006-0000-0500-000005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"Intangible Assets, Net"（净无形资产）是一项出现在财务报表中的资产类别，它表示公司拥有的无形资产的净账面价值，即原始成本减去累计的摊销以及可能的减值损失。
无形资产是指公司拥有但无法看见或触摸的资产，例如专利权、商标、版权、商誉、客户列表、专有技术等。这些资产虽然不具有物理形态，但却能为公司创造收益，因此在财务报表中会被记作资产。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tc={f5da3390-0596-49e1-af90-37df5f2a848f}</author>
  </authors>
  <commentList>
    <comment ref="A5" authorId="0" shapeId="0" xr:uid="{00000000-0006-0000-0600-000001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"Profit attributable to Owners of the Company" 是指归属于公司股东的利润。这是财务报表中的一个重要项目，通常出现在利润表或综合收益表中。它表示在一定时期内，公司经营活动产生的净利润中有多少是归属于公司股东的。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tc={6784f7a4-d684-4f61-a231-06853815d856}</author>
    <author>tc={14277b11-0cd7-47da-9325-e5e6580c74a9}</author>
    <author>tc={da61fdcc-85f6-43d3-a729-845ad9adbaba}</author>
    <author>tc={8573c422-2078-44f5-8021-e92c220e15b3}</author>
    <author>tc={28ce895f-a402-44b4-abe8-74b708b39c0b}</author>
    <author>tc={dd3b1e17-4860-4cf3-8d2d-e7144412dca1}</author>
  </authors>
  <commentList>
    <comment ref="D11" authorId="0" shapeId="0" xr:uid="{00000000-0006-0000-0700-000001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其他收益╱（虧損）淨額。我們於二零二三年第三季錄得其他收益淨額人民幣 26億
元，包括補貼及退稅，以及重估及處置╱視同處置若干投資公司所產生的收益淨
額。
</t>
        </r>
      </text>
    </comment>
    <comment ref="G11" authorId="1" shapeId="0" xr:uid="{00000000-0006-0000-0700-000002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其他收益╱（虧損）淨額。我們於二零二二年第四季錄得其他收益淨額人民幣 858億
元，主要歸因於與美团相關的視同處置收益人民幣1,066億元，部分被對互聯網服
務及線上娛樂等領域的若干投資公司的減值撥備所抵銷。
</t>
        </r>
      </text>
    </comment>
    <comment ref="H11" authorId="2" shapeId="0" xr:uid="{00000000-0006-0000-0700-000003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。我們於二零二二年第三季錄得其他收益淨額人民幣209億元，主要
是非國際財務報告準則調整項目，如視同處置及處置若干投資公司而產生的收益淨
額（包括來自視同處置Sea Limited的收益人民幣413億元），若干投資公司估值下降
產生的公允價值虧損淨額，以及對線上娛樂及金融科技等領域的若干投資公司作出
的減值撥備。
</t>
        </r>
      </text>
    </comment>
    <comment ref="A15" authorId="3" shapeId="0" xr:uid="{00000000-0006-0000-0700-000004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这个标记为0，并不代表投资收益是0，因为有时候财报是合并到其他收益里面。
</t>
        </r>
      </text>
    </comment>
    <comment ref="A23" authorId="4" shapeId="0" xr:uid="{00000000-0006-0000-0700-000005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去除卖出投资公司获得的钱
</t>
        </r>
      </text>
    </comment>
    <comment ref="H24" authorId="5" shapeId="0" xr:uid="{00000000-0006-0000-0700-000006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去除净资产后市值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tc={3d9ed34c-3d3c-4181-849b-5a8c302154fc}</author>
  </authors>
  <commentList>
    <comment ref="A13" authorId="0" shapeId="0" xr:uid="{00000000-0006-0000-0800-000001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净利息收入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tc={b1bb59bd-eb81-43cd-8867-36b62af0fdec}</author>
    <author>tc={24984427-4774-4403-8ff1-8bf5a8c01932}</author>
    <author>tc={6685cc64-0442-440e-96b6-913564448685}</author>
    <author>tc={aa9c78a8-d81c-491c-9069-9e65702a8cbc}</author>
    <author>tc={3a8766b0-635e-466e-afc5-f50938d94bb6}</author>
    <author>tc={853fc323-9ef1-4652-806d-6f2875739363}</author>
    <author>tc={3b0bf0de-006e-4b81-92be-5941da5a179a}</author>
    <author>tc={aeb49eb9-441c-40e8-a64e-11e30b15fdba}</author>
    <author>tc={c9af3c2a-5381-46e3-9c4f-21a1fe443906}</author>
  </authors>
  <commentList>
    <comment ref="A7" authorId="0" shapeId="0" xr:uid="{00000000-0006-0000-0900-000001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销售和市场营销
</t>
        </r>
      </text>
    </comment>
    <comment ref="A8" authorId="1" shapeId="0" xr:uid="{00000000-0006-0000-0900-000002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在公司财务报表中，“General and Administrative”（一般和行政费用）指的是与公司的日常管理和行政活动相关的费用。这通常包括高级管理人员的薪酬、办公室租金、办公用品、法律咨询费、会计服务费、人力资源管理费用等。这类费用与公司的直接生产或服务活动不直接相关，但对于保持公司正常运营和管理至关重要。总的来说，这些是支持公司整体运营的必要费用
</t>
        </r>
      </text>
    </comment>
    <comment ref="A10" authorId="2" shapeId="0" xr:uid="{00000000-0006-0000-0900-000003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加密货币资产的减值，币价跌了
</t>
        </r>
      </text>
    </comment>
    <comment ref="A14" authorId="3" shapeId="0" xr:uid="{00000000-0006-0000-0900-000004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利息费用
指的是公司因借款而产生的利息成本。这包括对银行贷款、债券、其他信用工具支付的利息，以及任何与公司债务相关的利息支出。利息费用是企业运营成本的一部分，通常在利润表的费用部分列出。这种费用反映了公司为获得资金所需支付的成本。
</t>
        </r>
      </text>
    </comment>
    <comment ref="A15" authorId="4" shapeId="0" xr:uid="{00000000-0006-0000-0900-000005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“Other (Income) Expense, Net”（其他收入或费用，净额）呈现负值时，表示公司从这些非核心业务活动中获得了净收入
</t>
        </r>
      </text>
    </comment>
    <comment ref="A27" authorId="5" shapeId="0" xr:uid="{00000000-0006-0000-0900-000006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客户托管资金
</t>
        </r>
      </text>
    </comment>
    <comment ref="A28" authorId="6" shapeId="0" xr:uid="{00000000-0006-0000-0900-000007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用户的钱
</t>
        </r>
      </text>
    </comment>
    <comment ref="A30" authorId="7" shapeId="0" xr:uid="{00000000-0006-0000-0900-000008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应收账款和贷款应收款项，扣除坏账准备后
</t>
        </r>
      </text>
    </comment>
    <comment ref="A31" authorId="8" shapeId="0" xr:uid="{00000000-0006-0000-0900-000009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"Income tax receivable"（应收所得税）是指企业在其所得税申报中预付或多付的税款，这部分税款预计将在未来从税务机关收回。它是企业资产负债表上的一个资产项目。
</t>
        </r>
      </text>
    </comment>
  </commentList>
</comments>
</file>

<file path=xl/sharedStrings.xml><?xml version="1.0" encoding="utf-8"?>
<sst xmlns="http://schemas.openxmlformats.org/spreadsheetml/2006/main" count="550" uniqueCount="436">
  <si>
    <t>(RMB)</t>
  </si>
  <si>
    <t>2026 Q1</t>
  </si>
  <si>
    <t>2025 Q4</t>
  </si>
  <si>
    <t>2025 Q3</t>
  </si>
  <si>
    <t>2025 Q2</t>
  </si>
  <si>
    <t>2025 Q1</t>
  </si>
  <si>
    <t>2024 Q4</t>
  </si>
  <si>
    <t>2024 Q3</t>
  </si>
  <si>
    <t>2024 Q2</t>
  </si>
  <si>
    <t>2024 Q1</t>
  </si>
  <si>
    <t>2023 Q4</t>
  </si>
  <si>
    <t>2023 Q3</t>
  </si>
  <si>
    <t>2023 Q2</t>
  </si>
  <si>
    <t>2023 Q1</t>
  </si>
  <si>
    <t>2022 Q4</t>
  </si>
  <si>
    <t>2022 Q3</t>
  </si>
  <si>
    <t>2022 Q2</t>
  </si>
  <si>
    <t>2022 Q1</t>
  </si>
  <si>
    <t>2021 Q4</t>
  </si>
  <si>
    <t>Online marketing services and others</t>
  </si>
  <si>
    <t>Transaction services</t>
  </si>
  <si>
    <t>Revenues</t>
  </si>
  <si>
    <t>Cost of revenues</t>
  </si>
  <si>
    <t xml:space="preserve">利润 </t>
  </si>
  <si>
    <t>毛利率</t>
  </si>
  <si>
    <t>Sales and marketing expenses</t>
  </si>
  <si>
    <t>General and administrative expenses</t>
  </si>
  <si>
    <t>Research and development expenses</t>
  </si>
  <si>
    <t>运转总花费</t>
  </si>
  <si>
    <t>营业利润</t>
  </si>
  <si>
    <t>营业利润率</t>
  </si>
  <si>
    <t>Interest and investment income, net</t>
  </si>
  <si>
    <t>Interest expenses</t>
  </si>
  <si>
    <t>Foreign exchange gain/lost</t>
  </si>
  <si>
    <t>Other income, net</t>
  </si>
  <si>
    <t>税前利润</t>
  </si>
  <si>
    <t>Share of results of equity investees</t>
  </si>
  <si>
    <t>Income tax expenses</t>
  </si>
  <si>
    <t>净利润</t>
  </si>
  <si>
    <t>净利润率</t>
  </si>
  <si>
    <t>总流通股数(basic)</t>
  </si>
  <si>
    <t>总ADS股数</t>
  </si>
  <si>
    <t>每ADS股收益</t>
  </si>
  <si>
    <t>稀释后每ADS股收益</t>
  </si>
  <si>
    <t>去除其他收入和投资收入后 净利润</t>
  </si>
  <si>
    <t>去除其他收入和投资收入后 每ADS收益</t>
  </si>
  <si>
    <t>预计下一个Q的值</t>
  </si>
  <si>
    <t>实际值</t>
  </si>
  <si>
    <t>USDCNY</t>
  </si>
  <si>
    <t>当前股价</t>
  </si>
  <si>
    <t>PE</t>
  </si>
  <si>
    <t>当前总市值</t>
  </si>
  <si>
    <t>basic 每股收益</t>
  </si>
  <si>
    <t>diluted 每股收益</t>
  </si>
  <si>
    <t>人民币市值</t>
  </si>
  <si>
    <t>去除投资</t>
  </si>
  <si>
    <t>去除净资产后市值</t>
  </si>
  <si>
    <t>去除净资产/净利润</t>
  </si>
  <si>
    <t>去除投资后的净利润</t>
  </si>
  <si>
    <t>去除净资产/去除投资后净利润</t>
  </si>
  <si>
    <t>现金和现金等价物</t>
  </si>
  <si>
    <t>受限现金</t>
  </si>
  <si>
    <t>Receivables from online payment platforms</t>
  </si>
  <si>
    <t>Short-term investments</t>
  </si>
  <si>
    <t>Amounts due from related parties</t>
  </si>
  <si>
    <t>Prepayments and other current assets</t>
  </si>
  <si>
    <t>总现金资产</t>
  </si>
  <si>
    <t>Property, equipment and software, net</t>
  </si>
  <si>
    <t>Intangible assets</t>
  </si>
  <si>
    <t>Right-of-use assets</t>
  </si>
  <si>
    <t>Deferred tax assets（递延税务资产）</t>
  </si>
  <si>
    <t>Other non-current assets</t>
  </si>
  <si>
    <t>总非现金资产</t>
  </si>
  <si>
    <t>总资产</t>
  </si>
  <si>
    <t>Amounts due to related parties</t>
  </si>
  <si>
    <t>Customer advances and deferred revenues
（客户预付款和递延收入）</t>
  </si>
  <si>
    <t>Payable to merchants</t>
  </si>
  <si>
    <t>Accrued expenses and other liabilities</t>
  </si>
  <si>
    <t>Merchant deposits</t>
  </si>
  <si>
    <t xml:space="preserve">Convertible bonds, current portion </t>
  </si>
  <si>
    <t>Lease liabilities</t>
  </si>
  <si>
    <t>总流动负债</t>
  </si>
  <si>
    <t>总非流动负债</t>
  </si>
  <si>
    <t>总负债</t>
  </si>
  <si>
    <t>资产-负债</t>
  </si>
  <si>
    <t>0.1billion/usd</t>
  </si>
  <si>
    <t>亿/usd</t>
  </si>
  <si>
    <t>Shopee</t>
  </si>
  <si>
    <t>电商</t>
  </si>
  <si>
    <t>Monee</t>
  </si>
  <si>
    <t>数字金融</t>
  </si>
  <si>
    <t>Garena</t>
  </si>
  <si>
    <t>游戏营收</t>
  </si>
  <si>
    <t>Other Services</t>
  </si>
  <si>
    <t>其他</t>
  </si>
  <si>
    <t>sales of goods</t>
  </si>
  <si>
    <t>商品销售收入</t>
  </si>
  <si>
    <t>Total revenue</t>
  </si>
  <si>
    <t>总营收</t>
  </si>
  <si>
    <t>Cost of Shopee</t>
  </si>
  <si>
    <t>电商成本</t>
  </si>
  <si>
    <t>Cost of Monee</t>
  </si>
  <si>
    <t>数字金融成本</t>
  </si>
  <si>
    <t>Cost of Garena</t>
  </si>
  <si>
    <t>游戏成本</t>
  </si>
  <si>
    <t>Cost of Other Service</t>
  </si>
  <si>
    <t>其他成本</t>
  </si>
  <si>
    <t>cost of sales of goods</t>
  </si>
  <si>
    <t>商品销售成本</t>
  </si>
  <si>
    <t>Total cost of Revenue</t>
  </si>
  <si>
    <t>总成本</t>
  </si>
  <si>
    <t>profit of Shopee</t>
  </si>
  <si>
    <t>电商利润</t>
  </si>
  <si>
    <t>profit of Monee</t>
  </si>
  <si>
    <t>数字金融利润</t>
  </si>
  <si>
    <t>profit of Garena</t>
  </si>
  <si>
    <t>游戏利润</t>
  </si>
  <si>
    <t>profit of Other Service</t>
  </si>
  <si>
    <t>其他利润</t>
  </si>
  <si>
    <t>profit of Sales of goods</t>
  </si>
  <si>
    <t>sales of goods利润</t>
  </si>
  <si>
    <t>Gross Profit</t>
  </si>
  <si>
    <t>总利润</t>
  </si>
  <si>
    <t>gross margin of Shopee</t>
  </si>
  <si>
    <t>电商毛利率</t>
  </si>
  <si>
    <t>gross margin of Monee</t>
  </si>
  <si>
    <t>数字金融毛利率</t>
  </si>
  <si>
    <t>gross margin of Garena</t>
  </si>
  <si>
    <t>游戏毛利率</t>
  </si>
  <si>
    <t>gross margin of Other Service</t>
  </si>
  <si>
    <t>其他毛利率</t>
  </si>
  <si>
    <t>gross margin of Sales of goods</t>
  </si>
  <si>
    <t>sales of goods毛利率</t>
  </si>
  <si>
    <t>Total Gross Margin</t>
  </si>
  <si>
    <t>总毛利率</t>
  </si>
  <si>
    <t>Other operating income</t>
  </si>
  <si>
    <t>其他营业收益</t>
  </si>
  <si>
    <t>Sales and marketing expenses of Shopee</t>
  </si>
  <si>
    <t>Shopee销售及市场推广费用</t>
  </si>
  <si>
    <t>Sales and marketing expenses of Monee</t>
  </si>
  <si>
    <t>Monee销售及市场推广费用</t>
  </si>
  <si>
    <t>Sales and marketing expenses of Garena</t>
  </si>
  <si>
    <t>Garena销售及市场推广费用</t>
  </si>
  <si>
    <t>Sales and marketing expenses of Other</t>
  </si>
  <si>
    <t>Other销售及市场推广费用</t>
  </si>
  <si>
    <t>Total Sales and marketing expenses</t>
  </si>
  <si>
    <t>总销售及市场推广费用</t>
  </si>
  <si>
    <t>管理费用</t>
  </si>
  <si>
    <t>Provision for credit losses</t>
  </si>
  <si>
    <t>信用损失准备</t>
  </si>
  <si>
    <t>研发费用</t>
  </si>
  <si>
    <t>总花费</t>
  </si>
  <si>
    <t>研发费占比营收</t>
  </si>
  <si>
    <t>销售和营销占比营收</t>
  </si>
  <si>
    <t>总花费占比营收</t>
  </si>
  <si>
    <t>Operating income of Shopee</t>
  </si>
  <si>
    <t>Shopee 营业利润</t>
  </si>
  <si>
    <t>Operating income of Monee</t>
  </si>
  <si>
    <t>Monee 营业利润</t>
  </si>
  <si>
    <t>Operating income of Garena</t>
  </si>
  <si>
    <t>Garena 营业利润</t>
  </si>
  <si>
    <t>Operating income of Other</t>
  </si>
  <si>
    <t>Other 营业利润</t>
  </si>
  <si>
    <t xml:space="preserve">  Unallocated expenses</t>
  </si>
  <si>
    <t>未分摊至各业务的集团总部及一般行政管理费用</t>
  </si>
  <si>
    <t>Operating income</t>
  </si>
  <si>
    <t xml:space="preserve">Non-operating income, net </t>
  </si>
  <si>
    <t>非营业净收益</t>
  </si>
  <si>
    <t>最近一年营业利润</t>
  </si>
  <si>
    <t>Income tax expense</t>
  </si>
  <si>
    <t>税</t>
  </si>
  <si>
    <t>最近一年净利润（不含子公司）</t>
  </si>
  <si>
    <t>权益法投资损益</t>
  </si>
  <si>
    <t>Net income</t>
  </si>
  <si>
    <t>Net income attributable to Sea Limited's ordinary shareholders</t>
  </si>
  <si>
    <t>净利润（不包括股票补偿）</t>
  </si>
  <si>
    <t>总股本 basic</t>
  </si>
  <si>
    <t>每股收益</t>
  </si>
  <si>
    <t>稀释后每股收益</t>
  </si>
  <si>
    <t>BALANCE SHEETS</t>
  </si>
  <si>
    <t>资产负债表</t>
  </si>
  <si>
    <t>Cash and cash equivalents</t>
  </si>
  <si>
    <t>现金及现金等价物</t>
  </si>
  <si>
    <t>Restricted cash (current)</t>
  </si>
  <si>
    <t>限制性现金（流动）</t>
  </si>
  <si>
    <t>Accounts receivable, net</t>
  </si>
  <si>
    <t>应收账款净额</t>
  </si>
  <si>
    <t>Prepaid expenses and other assets (current)</t>
  </si>
  <si>
    <t>预付款及其他流动资产</t>
  </si>
  <si>
    <t>Loans receivable, net (current)</t>
  </si>
  <si>
    <t>应收贷款净额（流动）</t>
  </si>
  <si>
    <t>Inventories, net</t>
  </si>
  <si>
    <t>存货净额</t>
  </si>
  <si>
    <t>短期投资</t>
  </si>
  <si>
    <t>Amounts due from related parties (current)</t>
  </si>
  <si>
    <t>应收关联方款（流动）</t>
  </si>
  <si>
    <t>Total current assets</t>
  </si>
  <si>
    <t>流动资产合计</t>
  </si>
  <si>
    <t>Property and equipment, net</t>
  </si>
  <si>
    <t>固定资产净额</t>
  </si>
  <si>
    <t>Operating lease right-of-use assets, net</t>
  </si>
  <si>
    <t>使用权资产净额</t>
  </si>
  <si>
    <t>Intangible assets, net</t>
  </si>
  <si>
    <t>无形资产净额</t>
  </si>
  <si>
    <t>Long-term investments</t>
  </si>
  <si>
    <t>长期投资</t>
  </si>
  <si>
    <t>Prepaid expenses and other assets (non-current)</t>
  </si>
  <si>
    <t>预付款及其他非流动资产</t>
  </si>
  <si>
    <t>Loans receivable, net (non-current)</t>
  </si>
  <si>
    <t>应收贷款净额（非流动）</t>
  </si>
  <si>
    <t>Restricted cash (non-current)</t>
  </si>
  <si>
    <t>限制性现金（非流动）</t>
  </si>
  <si>
    <t>Deferred tax assets</t>
  </si>
  <si>
    <t>递延所得税资产</t>
  </si>
  <si>
    <t>Goodwill</t>
  </si>
  <si>
    <t>商誉</t>
  </si>
  <si>
    <t>Total non-current assets</t>
  </si>
  <si>
    <t>非流动资产合计</t>
  </si>
  <si>
    <t>Total assets</t>
  </si>
  <si>
    <t>资产总计</t>
  </si>
  <si>
    <t>Accounts payable</t>
  </si>
  <si>
    <t>应付账款</t>
  </si>
  <si>
    <t>Accrued expenses and other payables (current)</t>
  </si>
  <si>
    <t>应付费用及其他应付款（流动）</t>
  </si>
  <si>
    <t>Deposits payable (current)</t>
  </si>
  <si>
    <t>应付存款（流动）</t>
  </si>
  <si>
    <t>Escrow payables and advances from customers</t>
  </si>
  <si>
    <t>托管款及客户预收款</t>
  </si>
  <si>
    <t>Amounts due to related parties (current)</t>
  </si>
  <si>
    <t>应付关联方款（流动）</t>
  </si>
  <si>
    <t>Borrowings (current)</t>
  </si>
  <si>
    <t>借款（流动）</t>
  </si>
  <si>
    <t>Operating lease liabilities (current)</t>
  </si>
  <si>
    <t>租赁负债（流动）</t>
  </si>
  <si>
    <t>Convertible notes (current)</t>
  </si>
  <si>
    <t>可转换票据（流动）</t>
  </si>
  <si>
    <t>Deferred revenue (current)</t>
  </si>
  <si>
    <t>递延收入（流动）</t>
  </si>
  <si>
    <t>Income tax payable</t>
  </si>
  <si>
    <t>应交所得税</t>
  </si>
  <si>
    <t>Total current liabilities</t>
  </si>
  <si>
    <t>流动负债合计</t>
  </si>
  <si>
    <t>Accrued expenses and other payables (non-current)</t>
  </si>
  <si>
    <t>应付费用及其他应付款（非流动）</t>
  </si>
  <si>
    <t>Borrowings (non-current)</t>
  </si>
  <si>
    <t>借款（非流动）</t>
  </si>
  <si>
    <t>Operating lease liabilities (non-current)</t>
  </si>
  <si>
    <t>租赁负债（非流动）</t>
  </si>
  <si>
    <t>Deferred revenue (non-current)</t>
  </si>
  <si>
    <t>递延收入（非流动）</t>
  </si>
  <si>
    <t>Convertible notes (non-current)</t>
  </si>
  <si>
    <t>可转换票据（非流动）</t>
  </si>
  <si>
    <t>Deferred tax liabilities</t>
  </si>
  <si>
    <t>递延所得税负债</t>
  </si>
  <si>
    <t>Unrecognized tax benefits</t>
  </si>
  <si>
    <t>未确认税收优惠</t>
  </si>
  <si>
    <t>Total non-current liabilities</t>
  </si>
  <si>
    <t>非流动负债合计</t>
  </si>
  <si>
    <t>Total liabilities</t>
  </si>
  <si>
    <t>负债总计</t>
  </si>
  <si>
    <t>Class A Ordinary shares</t>
  </si>
  <si>
    <t>A类普通股</t>
  </si>
  <si>
    <t>Class B Ordinary shares</t>
  </si>
  <si>
    <t>B类普通股</t>
  </si>
  <si>
    <t>Treasury stock</t>
  </si>
  <si>
    <t>库藏股</t>
  </si>
  <si>
    <t>Additional paid-in capital</t>
  </si>
  <si>
    <t>资本公积</t>
  </si>
  <si>
    <t>Accumulated other comprehensive loss</t>
  </si>
  <si>
    <t>其他综合损失</t>
  </si>
  <si>
    <t>Statutory reserves</t>
  </si>
  <si>
    <t>法定公积</t>
  </si>
  <si>
    <t>Accumulated deficit</t>
  </si>
  <si>
    <t>累计亏损</t>
  </si>
  <si>
    <t>Total Sea Limited shareholders' equity</t>
  </si>
  <si>
    <t>股东权益合计（母公司）</t>
  </si>
  <si>
    <t>Non-controlling interests</t>
  </si>
  <si>
    <t>非控制性权益</t>
  </si>
  <si>
    <t>Total shareholders' equity</t>
  </si>
  <si>
    <t>股东权益总计</t>
  </si>
  <si>
    <t>Total liabilities and shareholders' equity</t>
  </si>
  <si>
    <t>负债及股东权益总计</t>
  </si>
  <si>
    <t>RMB/亿</t>
  </si>
  <si>
    <t>Total deliveries</t>
  </si>
  <si>
    <t xml:space="preserve">Vehicle sales </t>
  </si>
  <si>
    <t>每辆车均价(万)</t>
  </si>
  <si>
    <t>Services and others</t>
  </si>
  <si>
    <t>total revenues</t>
  </si>
  <si>
    <t>Vehicle sales cost</t>
  </si>
  <si>
    <t>Services and others cost</t>
  </si>
  <si>
    <t>卖车利润</t>
  </si>
  <si>
    <t>卖车利润率</t>
  </si>
  <si>
    <t>服务利润</t>
  </si>
  <si>
    <t>每辆车利润(万)</t>
  </si>
  <si>
    <t>总支出</t>
  </si>
  <si>
    <t>利润</t>
  </si>
  <si>
    <t>利润率</t>
  </si>
  <si>
    <t>销售和管理费</t>
  </si>
  <si>
    <t>其他+Fair value gain on derivative liability relating to the contingent
consideration</t>
  </si>
  <si>
    <t>Loss from operations</t>
  </si>
  <si>
    <t>金融相关的收入</t>
  </si>
  <si>
    <t xml:space="preserve">Net loss </t>
  </si>
  <si>
    <t>普通股数量</t>
  </si>
  <si>
    <t>ADS数量</t>
  </si>
  <si>
    <t>每股盈利</t>
  </si>
  <si>
    <t>每ADR盈利</t>
  </si>
  <si>
    <t>假设总利润</t>
  </si>
  <si>
    <t>市值</t>
  </si>
  <si>
    <t>USD</t>
  </si>
  <si>
    <t>去除现金后的市值</t>
  </si>
  <si>
    <t>去除净资产后的PE</t>
  </si>
  <si>
    <t>Restricted cash</t>
  </si>
  <si>
    <t>短期存款</t>
  </si>
  <si>
    <t>Restricted short-term deposits</t>
  </si>
  <si>
    <t>Long-term deposits, current portion</t>
  </si>
  <si>
    <t>Accounts and notes receivable, net</t>
  </si>
  <si>
    <t>Installment payment receivables, net, current portion</t>
  </si>
  <si>
    <t>Inventory</t>
  </si>
  <si>
    <t>流动资产</t>
  </si>
  <si>
    <t>非流动资产</t>
  </si>
  <si>
    <t>净资产</t>
  </si>
  <si>
    <t>当前ETH数量</t>
  </si>
  <si>
    <t>当前ETH总价值</t>
  </si>
  <si>
    <t>当前</t>
  </si>
  <si>
    <t>ETH price</t>
  </si>
  <si>
    <t>当前市值</t>
  </si>
  <si>
    <t>溢价率</t>
  </si>
  <si>
    <t>负债</t>
  </si>
  <si>
    <t>Aave</t>
  </si>
  <si>
    <t>可转债</t>
  </si>
  <si>
    <t>sum</t>
  </si>
  <si>
    <t>当前btc总价值</t>
  </si>
  <si>
    <t>当前btc数量</t>
  </si>
  <si>
    <t>BTCUSD</t>
  </si>
  <si>
    <t>当前总现金</t>
  </si>
  <si>
    <t>USD(亿)</t>
  </si>
  <si>
    <t>Revenues, net of discounts</t>
  </si>
  <si>
    <t>Cost of Goods Sold, Net</t>
  </si>
  <si>
    <t>Selling, General, and Administrative</t>
  </si>
  <si>
    <t>其他收入(花费)</t>
  </si>
  <si>
    <t>Provision For Income Taxes</t>
  </si>
  <si>
    <t>Net Income Before Non-Controlling Interest</t>
  </si>
  <si>
    <t>Net Income Attributable to Non-Controlling Interest</t>
  </si>
  <si>
    <t>总股数basic</t>
  </si>
  <si>
    <t>总股数diluted</t>
  </si>
  <si>
    <t>每股收益diluted</t>
  </si>
  <si>
    <t>Cash and Cash Equivalents</t>
  </si>
  <si>
    <t>Accounts Receivable</t>
  </si>
  <si>
    <t>Income Tax Receivable</t>
  </si>
  <si>
    <t>Inventories</t>
  </si>
  <si>
    <t>Prepaid Expenses</t>
  </si>
  <si>
    <t>Other Current Assets</t>
  </si>
  <si>
    <t xml:space="preserve">Property and Equipment, Net </t>
  </si>
  <si>
    <t>Right of Use Assets, Net</t>
  </si>
  <si>
    <t>Investments</t>
  </si>
  <si>
    <t xml:space="preserve">Investments in Associates </t>
  </si>
  <si>
    <t>Intangible Assets, Net</t>
  </si>
  <si>
    <t>Goodwill 商誉</t>
  </si>
  <si>
    <t>Deposits and Other Assets</t>
  </si>
  <si>
    <t>去除无用的</t>
  </si>
  <si>
    <t>总现有负债</t>
  </si>
  <si>
    <t>长期负债</t>
  </si>
  <si>
    <t>去除现有负债</t>
  </si>
  <si>
    <t>SGD(亿)</t>
  </si>
  <si>
    <t>Q3 2023</t>
  </si>
  <si>
    <t>Q2 2023</t>
  </si>
  <si>
    <t>收入</t>
  </si>
  <si>
    <t>Profit attributable to Owners of the Company</t>
  </si>
  <si>
    <t>其他收入</t>
  </si>
  <si>
    <t>每股收益basic</t>
  </si>
  <si>
    <t>每股收益 adjusted basic</t>
  </si>
  <si>
    <t>每股收益 Diluted</t>
  </si>
  <si>
    <t>注意：</t>
  </si>
  <si>
    <t>新加坡是从3月到次年3月算一个全年财报，所以这里的Q3实际是10月初到12月的数据</t>
  </si>
  <si>
    <t>Q4(1-3)</t>
  </si>
  <si>
    <t>Q3(10-12)</t>
  </si>
  <si>
    <t>Q2(7-9)</t>
  </si>
  <si>
    <t>Q1(4-6)</t>
  </si>
  <si>
    <t>Totoal debt</t>
  </si>
  <si>
    <t>现金和银行余额</t>
  </si>
  <si>
    <t>增值服务</t>
  </si>
  <si>
    <t>网络广告</t>
  </si>
  <si>
    <t>金融科技和企业服务</t>
  </si>
  <si>
    <t>总收入</t>
  </si>
  <si>
    <t>收入成本</t>
  </si>
  <si>
    <t>毛利</t>
  </si>
  <si>
    <t>利息收入</t>
  </si>
  <si>
    <t>其他收益</t>
  </si>
  <si>
    <t>销售及市场推广开支</t>
  </si>
  <si>
    <t>一般行政开支</t>
  </si>
  <si>
    <t>经营盈利</t>
  </si>
  <si>
    <t>投资收益/亏损</t>
  </si>
  <si>
    <t>财务成本</t>
  </si>
  <si>
    <t>分佔聯營公司及合營公司
盈利╱（虧損）淨額</t>
  </si>
  <si>
    <t>除税前盈利</t>
  </si>
  <si>
    <t>所得税</t>
  </si>
  <si>
    <t>税后盈利</t>
  </si>
  <si>
    <t>股价</t>
  </si>
  <si>
    <t>HKDCNY</t>
  </si>
  <si>
    <t>业务利润</t>
  </si>
  <si>
    <t>非流动负债</t>
  </si>
  <si>
    <t>流动负债</t>
  </si>
  <si>
    <t>亿(RMB)</t>
  </si>
  <si>
    <t>营收</t>
  </si>
  <si>
    <t>营收成本</t>
  </si>
  <si>
    <t>研发费</t>
  </si>
  <si>
    <t>总运转花费</t>
  </si>
  <si>
    <t>其他花费</t>
  </si>
  <si>
    <t>Interest income, net</t>
  </si>
  <si>
    <t>Foreign exchange loss</t>
  </si>
  <si>
    <t>Share of income (loss) in equity method investments</t>
  </si>
  <si>
    <t>Diluted</t>
  </si>
  <si>
    <t>每ADS盈利</t>
  </si>
  <si>
    <t>Diluted per ADS</t>
  </si>
  <si>
    <t>当前PE</t>
  </si>
  <si>
    <t>现金</t>
  </si>
  <si>
    <t>非现金总资产</t>
  </si>
  <si>
    <t>USD/亿</t>
  </si>
  <si>
    <t>净收入</t>
  </si>
  <si>
    <t>Transaction expense</t>
  </si>
  <si>
    <t>Sales and marketing</t>
  </si>
  <si>
    <t>General and administrative</t>
  </si>
  <si>
    <t>Restructuring</t>
  </si>
  <si>
    <t>Crypto asset impairment, net........</t>
  </si>
  <si>
    <t>其他运转花费</t>
  </si>
  <si>
    <t>盈利</t>
  </si>
  <si>
    <t>Interest expense</t>
  </si>
  <si>
    <t>Other (income) expense, net....</t>
  </si>
  <si>
    <t>Customer custodial funds</t>
  </si>
  <si>
    <t xml:space="preserve">Safeguarding customer crypto assets </t>
  </si>
  <si>
    <t>USDC</t>
  </si>
  <si>
    <t xml:space="preserve">Accounts and loans receivable, net of allowance </t>
  </si>
  <si>
    <t xml:space="preserve">Income tax receivable </t>
  </si>
  <si>
    <t xml:space="preserve">Prepaid expenses and other current assets </t>
  </si>
  <si>
    <t>交易所的现金资产</t>
  </si>
  <si>
    <t>SE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</si>
</sst>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quot;$&quot;#,##0.00"/>
  </numFmts>
  <fonts count="13">
    <font>
      <sz val="10"/>
      <color rgb="FF000000"/>
      <name val="Arial"/>
      <scheme val="minor"/>
    </font>
    <font>
      <sz val="10"/>
      <color theme="1"/>
      <name val="Arial"/>
    </font>
    <font>
      <sz val="10"/>
      <color theme="1"/>
      <name val="Arial"/>
      <scheme val="minor"/>
    </font>
    <font>
      <sz val="11"/>
      <color rgb="FF000000"/>
      <name val="&quot;Aptos Narrow&quot;"/>
    </font>
    <font>
      <sz val="11"/>
      <color rgb="FF3B3B3B"/>
      <name val="-apple-system"/>
    </font>
    <font>
      <sz val="11"/>
      <color rgb="FF3B3B3B"/>
      <name val="Arial"/>
      <family val="2"/>
    </font>
    <font>
      <b/>
      <sz val="10"/>
      <color theme="1"/>
      <name val="Arial"/>
      <family val="2"/>
      <scheme val="minor"/>
    </font>
    <font>
      <sz val="9"/>
      <name val="Arial"/>
      <family val="3"/>
      <charset val="134"/>
      <scheme val="minor"/>
    </font>
    <font>
      <sz val="10"/>
      <color theme="1"/>
      <name val="微软雅黑"/>
      <family val="2"/>
      <charset val="134"/>
    </font>
    <font>
      <b/>
      <sz val="10"/>
      <color theme="1"/>
      <name val="微软雅黑"/>
      <family val="2"/>
      <charset val="134"/>
    </font>
    <font>
      <sz val="10"/>
      <color rgb="FF000000"/>
      <name val="Arial"/>
      <family val="2"/>
      <scheme val="minor"/>
    </font>
    <font>
      <b/>
      <sz val="10"/>
      <name val="Arial"/>
      <family val="2"/>
    </font>
    <font>
      <sz val="10"/>
      <name val="Arial"/>
      <family val="2"/>
    </font>
  </fonts>
  <fills count="2">
    <fill>
      <patternFill patternType="none"/>
    </fill>
    <fill>
      <patternFill patternType="gray125"/>
    </fill>
  </fills>
  <borders count="3">
    <border>
      <left/>
      <right/>
      <top/>
      <bottom/>
      <diagonal/>
    </border>
    <border>
      <left/>
      <right/>
      <top style="thin">
        <color rgb="FF000000"/>
      </top>
      <bottom style="thin">
        <color rgb="FF000000"/>
      </bottom>
      <diagonal/>
    </border>
    <border>
      <left/>
      <right/>
      <top style="thin">
        <color rgb="FF000000"/>
      </top>
      <bottom style="double">
        <color rgb="FF000000"/>
      </bottom>
      <diagonal/>
    </border>
  </borders>
  <cellStyleXfs count="1">
    <xf numFmtId="0" fontId="0" fillId="0" borderId="0"/>
  </cellStyleXfs>
  <cellXfs count="32">
    <xf numFmtId="0" fontId="0" fillId="0" borderId="0" xfId="0"/>
    <xf numFmtId="0" fontId="1" fillId="0" borderId="0" xfId="0" applyFont="1"/>
    <xf numFmtId="0" fontId="1" fillId="0" borderId="0" xfId="0" applyFont="1" applyAlignment="1">
      <alignment horizontal="left"/>
    </xf>
    <xf numFmtId="0" fontId="2" fillId="0" borderId="0" xfId="0" applyFont="1"/>
    <xf numFmtId="0" fontId="3" fillId="0" borderId="0" xfId="0" applyFont="1"/>
    <xf numFmtId="0" fontId="1" fillId="0" borderId="0" xfId="0" applyFont="1" applyAlignment="1">
      <alignment horizontal="right"/>
    </xf>
    <xf numFmtId="4" fontId="1" fillId="0" borderId="0" xfId="0" applyNumberFormat="1" applyFont="1" applyAlignment="1">
      <alignment horizontal="right"/>
    </xf>
    <xf numFmtId="10" fontId="1" fillId="0" borderId="0" xfId="0" applyNumberFormat="1" applyFont="1" applyAlignment="1">
      <alignment horizontal="right"/>
    </xf>
    <xf numFmtId="4" fontId="2" fillId="0" borderId="0" xfId="0" applyNumberFormat="1" applyFont="1"/>
    <xf numFmtId="10" fontId="2" fillId="0" borderId="0" xfId="0" applyNumberFormat="1" applyFont="1"/>
    <xf numFmtId="0" fontId="1" fillId="0" borderId="0" xfId="0" applyFont="1" applyAlignment="1">
      <alignment horizontal="center"/>
    </xf>
    <xf numFmtId="4" fontId="1" fillId="0" borderId="0" xfId="0" applyNumberFormat="1" applyFont="1"/>
    <xf numFmtId="0" fontId="2" fillId="0" borderId="0" xfId="0" applyFont="1" applyAlignment="1">
      <alignment horizontal="right"/>
    </xf>
    <xf numFmtId="0" fontId="4" fillId="0" borderId="0" xfId="0" applyFont="1" applyAlignment="1">
      <alignment horizontal="right"/>
    </xf>
    <xf numFmtId="0" fontId="5" fillId="0" borderId="0" xfId="0" applyFont="1" applyAlignment="1">
      <alignment horizontal="right"/>
    </xf>
    <xf numFmtId="0" fontId="6" fillId="0" borderId="0" xfId="0" applyFont="1" applyAlignment="1">
      <alignment horizontal="right"/>
    </xf>
    <xf numFmtId="10" fontId="2" fillId="0" borderId="0" xfId="0" applyNumberFormat="1" applyFont="1" applyAlignment="1">
      <alignment horizontal="right"/>
    </xf>
    <xf numFmtId="2" fontId="2" fillId="0" borderId="0" xfId="0" applyNumberFormat="1" applyFont="1" applyAlignment="1">
      <alignment horizontal="right"/>
    </xf>
    <xf numFmtId="3" fontId="2" fillId="0" borderId="0" xfId="0" applyNumberFormat="1" applyFont="1"/>
    <xf numFmtId="176" fontId="2" fillId="0" borderId="0" xfId="0" applyNumberFormat="1" applyFont="1"/>
    <xf numFmtId="177" fontId="2" fillId="0" borderId="0" xfId="0" applyNumberFormat="1" applyFont="1"/>
    <xf numFmtId="0" fontId="8" fillId="0" borderId="0" xfId="0" applyFont="1"/>
    <xf numFmtId="0" fontId="8" fillId="0" borderId="0" xfId="0" applyFont="1" applyAlignment="1">
      <alignment horizontal="right"/>
    </xf>
    <xf numFmtId="0" fontId="9" fillId="0" borderId="0" xfId="0" applyFont="1" applyAlignment="1">
      <alignment horizontal="right"/>
    </xf>
    <xf numFmtId="4" fontId="8" fillId="0" borderId="0" xfId="0" applyNumberFormat="1" applyFont="1"/>
    <xf numFmtId="0" fontId="10" fillId="0" borderId="0" xfId="0" applyFont="1"/>
    <xf numFmtId="0" fontId="11" fillId="0" borderId="0" xfId="0" applyFont="1" applyAlignment="1">
      <alignment horizontal="right"/>
    </xf>
    <xf numFmtId="0" fontId="12" fillId="0" borderId="0" xfId="0" applyFont="1" applyAlignment="1">
      <alignment horizontal="right"/>
    </xf>
    <xf numFmtId="2" fontId="12" fillId="0" borderId="0" xfId="0" applyNumberFormat="1" applyFont="1" applyAlignment="1">
      <alignment horizontal="right"/>
    </xf>
    <xf numFmtId="0" fontId="11" fillId="0" borderId="1" xfId="0" applyFont="1" applyBorder="1" applyAlignment="1">
      <alignment horizontal="right"/>
    </xf>
    <xf numFmtId="0" fontId="11" fillId="0" borderId="2" xfId="0" applyFont="1" applyBorder="1" applyAlignment="1">
      <alignment horizontal="right"/>
    </xf>
    <xf numFmtId="0" fontId="11" fillId="0" borderId="0" xfId="0" applyFont="1" applyBorder="1" applyAlignment="1">
      <alignment horizontal="righ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60"/>
  <sheetViews>
    <sheetView workbookViewId="0">
      <pane ySplit="1" topLeftCell="A2" activePane="bottomLeft" state="frozen"/>
      <selection pane="bottomLeft" activeCell="B3" sqref="B3"/>
    </sheetView>
  </sheetViews>
  <sheetFormatPr defaultColWidth="12.6328125" defaultRowHeight="15.75" customHeight="1"/>
  <cols>
    <col min="1" max="3" width="31.6328125" customWidth="1"/>
    <col min="4" max="13" width="17.453125" customWidth="1"/>
    <col min="19" max="19" width="18" customWidth="1"/>
    <col min="20" max="20" width="18.08984375" customWidth="1"/>
  </cols>
  <sheetData>
    <row r="1" spans="1:19" ht="15.7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row>
    <row r="2" spans="1:19" ht="14" customHeight="1">
      <c r="A2" s="1" t="s">
        <v>19</v>
      </c>
      <c r="B2" s="4">
        <v>499.36</v>
      </c>
      <c r="C2" s="1">
        <v>600.1</v>
      </c>
      <c r="D2" s="3">
        <v>533.47</v>
      </c>
      <c r="E2" s="5">
        <v>557.03</v>
      </c>
      <c r="F2" s="5">
        <v>487.22</v>
      </c>
      <c r="G2" s="6">
        <v>570.11</v>
      </c>
      <c r="H2" s="6">
        <v>493.51</v>
      </c>
      <c r="I2" s="6">
        <v>491.15</v>
      </c>
      <c r="J2" s="6">
        <v>424.56</v>
      </c>
      <c r="K2" s="6"/>
      <c r="L2" s="5"/>
      <c r="M2" s="5"/>
      <c r="N2" s="5"/>
      <c r="O2" s="1"/>
      <c r="P2" s="1"/>
      <c r="Q2" s="1"/>
      <c r="R2" s="1"/>
      <c r="S2" s="3"/>
    </row>
    <row r="3" spans="1:19" ht="14" customHeight="1">
      <c r="A3" s="1" t="s">
        <v>20</v>
      </c>
      <c r="B3" s="4">
        <v>562.92999999999995</v>
      </c>
      <c r="C3" s="1">
        <v>639.02</v>
      </c>
      <c r="D3" s="5">
        <v>549.29</v>
      </c>
      <c r="E3" s="5">
        <v>482.81</v>
      </c>
      <c r="F3" s="5">
        <v>469.5</v>
      </c>
      <c r="G3" s="6">
        <v>535.99</v>
      </c>
      <c r="H3" s="6">
        <v>500.03</v>
      </c>
      <c r="I3" s="6">
        <v>479.44</v>
      </c>
      <c r="J3" s="6">
        <v>443.56</v>
      </c>
      <c r="K3" s="6"/>
      <c r="L3" s="5"/>
      <c r="M3" s="5"/>
      <c r="N3" s="5"/>
      <c r="O3" s="1"/>
      <c r="P3" s="1"/>
      <c r="Q3" s="1"/>
      <c r="R3" s="1"/>
      <c r="S3" s="3"/>
    </row>
    <row r="4" spans="1:19" ht="15.75" customHeight="1">
      <c r="A4" s="1" t="s">
        <v>21</v>
      </c>
      <c r="B4" s="6">
        <f t="shared" ref="B4:J4" si="0">SUM(B2:B3)</f>
        <v>1062.29</v>
      </c>
      <c r="C4" s="6">
        <f t="shared" si="0"/>
        <v>1239.1199999999999</v>
      </c>
      <c r="D4" s="6">
        <f t="shared" si="0"/>
        <v>1082.76</v>
      </c>
      <c r="E4" s="6">
        <f t="shared" si="0"/>
        <v>1039.8399999999999</v>
      </c>
      <c r="F4" s="6">
        <f t="shared" si="0"/>
        <v>956.72</v>
      </c>
      <c r="G4" s="6">
        <f t="shared" si="0"/>
        <v>1106.0999999999999</v>
      </c>
      <c r="H4" s="6">
        <f t="shared" si="0"/>
        <v>993.54</v>
      </c>
      <c r="I4" s="6">
        <f t="shared" si="0"/>
        <v>970.58999999999992</v>
      </c>
      <c r="J4" s="6">
        <f t="shared" si="0"/>
        <v>868.12</v>
      </c>
      <c r="K4" s="6">
        <v>888.8</v>
      </c>
      <c r="L4" s="5">
        <v>688.4</v>
      </c>
      <c r="M4" s="5">
        <v>522.79999999999995</v>
      </c>
      <c r="N4" s="5">
        <v>376.37</v>
      </c>
      <c r="O4" s="1">
        <v>398.2</v>
      </c>
      <c r="P4" s="1">
        <v>355.04</v>
      </c>
      <c r="Q4" s="1">
        <v>314.39999999999998</v>
      </c>
      <c r="R4" s="1">
        <v>237.93</v>
      </c>
      <c r="S4" s="3">
        <v>272.3</v>
      </c>
    </row>
    <row r="5" spans="1:19" ht="14" customHeight="1">
      <c r="A5" s="1" t="s">
        <v>22</v>
      </c>
      <c r="B5" s="4">
        <v>468.93</v>
      </c>
      <c r="C5" s="1">
        <v>551.55999999999995</v>
      </c>
      <c r="D5" s="5">
        <v>468.4</v>
      </c>
      <c r="E5" s="5">
        <v>458.59</v>
      </c>
      <c r="F5" s="5">
        <v>409.47</v>
      </c>
      <c r="G5" s="6">
        <v>477.98</v>
      </c>
      <c r="H5" s="6">
        <v>397.09</v>
      </c>
      <c r="I5" s="6">
        <v>336.98</v>
      </c>
      <c r="J5" s="6">
        <v>326.95</v>
      </c>
      <c r="K5" s="6">
        <v>350.78</v>
      </c>
      <c r="L5" s="5">
        <v>268.3</v>
      </c>
      <c r="M5" s="5">
        <v>186.9</v>
      </c>
      <c r="N5" s="5">
        <v>111.25</v>
      </c>
      <c r="O5" s="1">
        <v>89.26</v>
      </c>
      <c r="P5" s="1">
        <v>74.14</v>
      </c>
      <c r="Q5" s="1">
        <v>79.62</v>
      </c>
      <c r="R5" s="1">
        <v>71.599999999999994</v>
      </c>
      <c r="S5" s="3">
        <v>65.150000000000006</v>
      </c>
    </row>
    <row r="6" spans="1:19" ht="15.75" customHeight="1">
      <c r="A6" s="21" t="s">
        <v>23</v>
      </c>
      <c r="B6" s="6">
        <f t="shared" ref="B6:S6" si="1">B4-B5</f>
        <v>593.3599999999999</v>
      </c>
      <c r="C6" s="6">
        <f t="shared" si="1"/>
        <v>687.56</v>
      </c>
      <c r="D6" s="6">
        <f t="shared" si="1"/>
        <v>614.36</v>
      </c>
      <c r="E6" s="6">
        <f t="shared" si="1"/>
        <v>581.25</v>
      </c>
      <c r="F6" s="6">
        <f t="shared" si="1"/>
        <v>547.25</v>
      </c>
      <c r="G6" s="6">
        <f t="shared" si="1"/>
        <v>628.11999999999989</v>
      </c>
      <c r="H6" s="6">
        <f t="shared" si="1"/>
        <v>596.45000000000005</v>
      </c>
      <c r="I6" s="6">
        <f t="shared" si="1"/>
        <v>633.6099999999999</v>
      </c>
      <c r="J6" s="6">
        <f t="shared" si="1"/>
        <v>541.17000000000007</v>
      </c>
      <c r="K6" s="6">
        <f t="shared" si="1"/>
        <v>538.02</v>
      </c>
      <c r="L6" s="5">
        <f t="shared" si="1"/>
        <v>420.09999999999997</v>
      </c>
      <c r="M6" s="5">
        <f t="shared" si="1"/>
        <v>335.9</v>
      </c>
      <c r="N6" s="5">
        <f t="shared" si="1"/>
        <v>265.12</v>
      </c>
      <c r="O6" s="5">
        <f t="shared" si="1"/>
        <v>308.94</v>
      </c>
      <c r="P6" s="5">
        <f t="shared" si="1"/>
        <v>280.90000000000003</v>
      </c>
      <c r="Q6" s="5">
        <f t="shared" si="1"/>
        <v>234.77999999999997</v>
      </c>
      <c r="R6" s="5">
        <f t="shared" si="1"/>
        <v>166.33</v>
      </c>
      <c r="S6" s="5">
        <f t="shared" si="1"/>
        <v>207.15</v>
      </c>
    </row>
    <row r="7" spans="1:19" ht="15.75" customHeight="1">
      <c r="A7" s="21" t="s">
        <v>24</v>
      </c>
      <c r="B7" s="7">
        <f t="shared" ref="B7:S7" si="2">B6/B4</f>
        <v>0.55856686968718516</v>
      </c>
      <c r="C7" s="7">
        <f t="shared" si="2"/>
        <v>0.55487765511007814</v>
      </c>
      <c r="D7" s="7">
        <f t="shared" si="2"/>
        <v>0.56740182496582814</v>
      </c>
      <c r="E7" s="7">
        <f t="shared" si="2"/>
        <v>0.55898022772734268</v>
      </c>
      <c r="F7" s="7">
        <f t="shared" si="2"/>
        <v>0.57200643866544021</v>
      </c>
      <c r="G7" s="7">
        <f t="shared" si="2"/>
        <v>0.56786908959406923</v>
      </c>
      <c r="H7" s="7">
        <f t="shared" si="2"/>
        <v>0.60032811965295818</v>
      </c>
      <c r="I7" s="7">
        <f t="shared" si="2"/>
        <v>0.65280911610463732</v>
      </c>
      <c r="J7" s="7">
        <f t="shared" si="2"/>
        <v>0.6233815601529743</v>
      </c>
      <c r="K7" s="7">
        <f t="shared" si="2"/>
        <v>0.60533303330333033</v>
      </c>
      <c r="L7" s="7">
        <f t="shared" si="2"/>
        <v>0.61025566531086572</v>
      </c>
      <c r="M7" s="7">
        <f t="shared" si="2"/>
        <v>0.64250191277735269</v>
      </c>
      <c r="N7" s="7">
        <f t="shared" si="2"/>
        <v>0.70441321040465499</v>
      </c>
      <c r="O7" s="7">
        <f t="shared" si="2"/>
        <v>0.77584128578603717</v>
      </c>
      <c r="P7" s="7">
        <f t="shared" si="2"/>
        <v>0.79117845876520965</v>
      </c>
      <c r="Q7" s="7">
        <f t="shared" si="2"/>
        <v>0.74675572519083966</v>
      </c>
      <c r="R7" s="7">
        <f t="shared" si="2"/>
        <v>0.69907115538183506</v>
      </c>
      <c r="S7" s="7">
        <f t="shared" si="2"/>
        <v>0.76074182886522212</v>
      </c>
    </row>
    <row r="8" spans="1:19" ht="14" customHeight="1">
      <c r="A8" s="1" t="s">
        <v>25</v>
      </c>
      <c r="B8" s="4">
        <v>337.73</v>
      </c>
      <c r="C8" s="1">
        <v>343.52</v>
      </c>
      <c r="D8" s="5">
        <v>303.23</v>
      </c>
      <c r="E8" s="5">
        <v>272.10000000000002</v>
      </c>
      <c r="F8" s="5">
        <v>334.03</v>
      </c>
      <c r="G8" s="6">
        <v>313.57</v>
      </c>
      <c r="H8" s="6">
        <v>304.83</v>
      </c>
      <c r="I8" s="6">
        <v>260.49</v>
      </c>
      <c r="J8" s="6">
        <v>234.1</v>
      </c>
      <c r="K8" s="6">
        <v>266.38</v>
      </c>
      <c r="L8" s="1">
        <v>217.48</v>
      </c>
      <c r="M8" s="1">
        <v>175.42</v>
      </c>
      <c r="N8" s="1">
        <v>162.6</v>
      </c>
      <c r="O8" s="1">
        <v>177.32</v>
      </c>
      <c r="P8" s="1">
        <v>140.47999999999999</v>
      </c>
      <c r="Q8" s="1">
        <v>113.43</v>
      </c>
      <c r="R8" s="1">
        <v>112.19</v>
      </c>
      <c r="S8" s="3">
        <v>113.66</v>
      </c>
    </row>
    <row r="9" spans="1:19" ht="14" customHeight="1">
      <c r="A9" s="3" t="s">
        <v>26</v>
      </c>
      <c r="B9" s="4">
        <v>15.79</v>
      </c>
      <c r="C9" s="3">
        <v>16.899999999999999</v>
      </c>
      <c r="D9" s="5">
        <v>17.55</v>
      </c>
      <c r="E9" s="5">
        <v>15.32</v>
      </c>
      <c r="F9" s="5">
        <v>16.59</v>
      </c>
      <c r="G9" s="6">
        <v>20.85</v>
      </c>
      <c r="H9" s="6">
        <v>18.059999999999999</v>
      </c>
      <c r="I9" s="6">
        <v>18.38</v>
      </c>
      <c r="J9" s="6">
        <v>18.23</v>
      </c>
      <c r="K9" s="6">
        <v>19.05</v>
      </c>
      <c r="L9" s="3">
        <v>7.58</v>
      </c>
      <c r="M9" s="3">
        <v>5.96</v>
      </c>
      <c r="N9" s="3">
        <v>8.16</v>
      </c>
      <c r="O9" s="3">
        <v>16.399999999999999</v>
      </c>
      <c r="P9" s="3">
        <v>9.07</v>
      </c>
      <c r="Q9" s="3">
        <v>8.26</v>
      </c>
      <c r="R9" s="3">
        <v>5.92</v>
      </c>
      <c r="S9" s="3">
        <v>4.2</v>
      </c>
    </row>
    <row r="10" spans="1:19" ht="14" customHeight="1">
      <c r="A10" s="3" t="s">
        <v>27</v>
      </c>
      <c r="B10" s="4">
        <v>44.18</v>
      </c>
      <c r="C10" s="3">
        <v>49.95</v>
      </c>
      <c r="D10" s="5">
        <v>43.32</v>
      </c>
      <c r="E10" s="5">
        <v>35.909999999999997</v>
      </c>
      <c r="F10" s="5">
        <v>35.78</v>
      </c>
      <c r="G10" s="6">
        <v>37.770000000000003</v>
      </c>
      <c r="H10" s="6">
        <v>30.63</v>
      </c>
      <c r="I10" s="6">
        <v>29.09</v>
      </c>
      <c r="J10" s="6">
        <v>29.1</v>
      </c>
      <c r="K10" s="6">
        <v>28.64</v>
      </c>
      <c r="L10" s="3">
        <v>28.47</v>
      </c>
      <c r="M10" s="3">
        <v>27.33</v>
      </c>
      <c r="N10" s="3">
        <v>25.06</v>
      </c>
      <c r="O10" s="3">
        <v>24.07</v>
      </c>
      <c r="P10" s="3">
        <v>26.98</v>
      </c>
      <c r="Q10" s="3">
        <v>26.11</v>
      </c>
      <c r="R10" s="3">
        <v>26.69</v>
      </c>
      <c r="S10" s="3">
        <v>20.23</v>
      </c>
    </row>
    <row r="11" spans="1:19" ht="15.75" customHeight="1">
      <c r="A11" s="21" t="s">
        <v>28</v>
      </c>
      <c r="B11" s="3">
        <f t="shared" ref="B11:S11" si="3">SUM(B8:B10)</f>
        <v>397.70000000000005</v>
      </c>
      <c r="C11" s="3">
        <f t="shared" si="3"/>
        <v>410.36999999999995</v>
      </c>
      <c r="D11" s="3">
        <f t="shared" si="3"/>
        <v>364.1</v>
      </c>
      <c r="E11" s="3">
        <f t="shared" si="3"/>
        <v>323.33000000000004</v>
      </c>
      <c r="F11" s="3">
        <f t="shared" si="3"/>
        <v>386.4</v>
      </c>
      <c r="G11" s="8">
        <f t="shared" si="3"/>
        <v>372.19</v>
      </c>
      <c r="H11" s="8">
        <f t="shared" si="3"/>
        <v>353.52</v>
      </c>
      <c r="I11" s="8">
        <f t="shared" si="3"/>
        <v>307.95999999999998</v>
      </c>
      <c r="J11" s="8">
        <f t="shared" si="3"/>
        <v>281.43</v>
      </c>
      <c r="K11" s="8">
        <f t="shared" si="3"/>
        <v>314.07</v>
      </c>
      <c r="L11" s="3">
        <f t="shared" si="3"/>
        <v>253.53</v>
      </c>
      <c r="M11" s="3">
        <f t="shared" si="3"/>
        <v>208.70999999999998</v>
      </c>
      <c r="N11" s="3">
        <f t="shared" si="3"/>
        <v>195.82</v>
      </c>
      <c r="O11" s="3">
        <f t="shared" si="3"/>
        <v>217.79</v>
      </c>
      <c r="P11" s="3">
        <f t="shared" si="3"/>
        <v>176.52999999999997</v>
      </c>
      <c r="Q11" s="3">
        <f t="shared" si="3"/>
        <v>147.80000000000001</v>
      </c>
      <c r="R11" s="3">
        <f t="shared" si="3"/>
        <v>144.80000000000001</v>
      </c>
      <c r="S11" s="3">
        <f t="shared" si="3"/>
        <v>138.09</v>
      </c>
    </row>
    <row r="12" spans="1:19" ht="15.75" customHeight="1">
      <c r="A12" s="21" t="s">
        <v>29</v>
      </c>
      <c r="B12" s="8">
        <f t="shared" ref="B12:S12" si="4">B6-B11</f>
        <v>195.65999999999985</v>
      </c>
      <c r="C12" s="8">
        <f t="shared" si="4"/>
        <v>277.19</v>
      </c>
      <c r="D12" s="8">
        <f t="shared" si="4"/>
        <v>250.26</v>
      </c>
      <c r="E12" s="8">
        <f t="shared" si="4"/>
        <v>257.91999999999996</v>
      </c>
      <c r="F12" s="8">
        <f t="shared" si="4"/>
        <v>160.85000000000002</v>
      </c>
      <c r="G12" s="8">
        <f t="shared" si="4"/>
        <v>255.92999999999989</v>
      </c>
      <c r="H12" s="8">
        <f t="shared" si="4"/>
        <v>242.93000000000006</v>
      </c>
      <c r="I12" s="8">
        <f t="shared" si="4"/>
        <v>325.64999999999992</v>
      </c>
      <c r="J12" s="8">
        <f t="shared" si="4"/>
        <v>259.74000000000007</v>
      </c>
      <c r="K12" s="8">
        <f t="shared" si="4"/>
        <v>223.95</v>
      </c>
      <c r="L12" s="3">
        <f t="shared" si="4"/>
        <v>166.56999999999996</v>
      </c>
      <c r="M12" s="3">
        <f t="shared" si="4"/>
        <v>127.19</v>
      </c>
      <c r="N12" s="3">
        <f t="shared" si="4"/>
        <v>69.300000000000011</v>
      </c>
      <c r="O12" s="3">
        <f t="shared" si="4"/>
        <v>91.15</v>
      </c>
      <c r="P12" s="3">
        <f t="shared" si="4"/>
        <v>104.37000000000006</v>
      </c>
      <c r="Q12" s="3">
        <f t="shared" si="4"/>
        <v>86.979999999999961</v>
      </c>
      <c r="R12" s="3">
        <f t="shared" si="4"/>
        <v>21.53</v>
      </c>
      <c r="S12" s="3">
        <f t="shared" si="4"/>
        <v>69.06</v>
      </c>
    </row>
    <row r="13" spans="1:19" ht="15.75" customHeight="1">
      <c r="A13" s="21" t="s">
        <v>30</v>
      </c>
      <c r="B13" s="9">
        <f t="shared" ref="B13:S13" si="5">B12/B4</f>
        <v>0.18418699225258625</v>
      </c>
      <c r="C13" s="9">
        <f t="shared" si="5"/>
        <v>0.22369907676415524</v>
      </c>
      <c r="D13" s="9">
        <f t="shared" si="5"/>
        <v>0.23113155269865898</v>
      </c>
      <c r="E13" s="9">
        <f t="shared" si="5"/>
        <v>0.24803815971687951</v>
      </c>
      <c r="F13" s="9">
        <f t="shared" si="5"/>
        <v>0.16812651559494943</v>
      </c>
      <c r="G13" s="9">
        <f t="shared" si="5"/>
        <v>0.23138052617304034</v>
      </c>
      <c r="H13" s="9">
        <f t="shared" si="5"/>
        <v>0.2445095315739679</v>
      </c>
      <c r="I13" s="9">
        <f t="shared" si="5"/>
        <v>0.33551757178623304</v>
      </c>
      <c r="J13" s="9">
        <f t="shared" si="5"/>
        <v>0.29919826752061934</v>
      </c>
      <c r="K13" s="9">
        <f t="shared" si="5"/>
        <v>0.25196894689468946</v>
      </c>
      <c r="L13" s="9">
        <f t="shared" si="5"/>
        <v>0.24196687972109235</v>
      </c>
      <c r="M13" s="9">
        <f t="shared" si="5"/>
        <v>0.24328615149196636</v>
      </c>
      <c r="N13" s="9">
        <f t="shared" si="5"/>
        <v>0.1841273215187183</v>
      </c>
      <c r="O13" s="9">
        <f t="shared" si="5"/>
        <v>0.22890507282772479</v>
      </c>
      <c r="P13" s="9">
        <f t="shared" si="5"/>
        <v>0.293966876971609</v>
      </c>
      <c r="Q13" s="9">
        <f t="shared" si="5"/>
        <v>0.27665394402035615</v>
      </c>
      <c r="R13" s="9">
        <f t="shared" si="5"/>
        <v>9.0488799226663308E-2</v>
      </c>
      <c r="S13" s="9">
        <f t="shared" si="5"/>
        <v>0.25361733382298934</v>
      </c>
    </row>
    <row r="14" spans="1:19" ht="14" customHeight="1">
      <c r="A14" s="3" t="s">
        <v>31</v>
      </c>
      <c r="B14" s="4">
        <v>-6.32</v>
      </c>
      <c r="C14" s="3">
        <v>63.73</v>
      </c>
      <c r="D14" s="5">
        <v>85.65</v>
      </c>
      <c r="E14" s="5">
        <v>104.22</v>
      </c>
      <c r="F14" s="5">
        <v>2.23</v>
      </c>
      <c r="G14" s="6">
        <v>52.33</v>
      </c>
      <c r="H14" s="6">
        <v>54.16</v>
      </c>
      <c r="I14" s="6">
        <v>48.55</v>
      </c>
      <c r="J14" s="6">
        <v>50.48</v>
      </c>
      <c r="K14" s="6">
        <v>43.59</v>
      </c>
      <c r="L14" s="3">
        <v>21.27</v>
      </c>
      <c r="M14" s="3">
        <v>22.88</v>
      </c>
      <c r="N14" s="3">
        <v>14.63</v>
      </c>
      <c r="O14" s="3">
        <v>13.52</v>
      </c>
      <c r="P14" s="3">
        <v>10.92</v>
      </c>
      <c r="Q14" s="3">
        <v>7.57</v>
      </c>
      <c r="R14" s="3">
        <v>7.96</v>
      </c>
      <c r="S14" s="3">
        <v>9.15</v>
      </c>
    </row>
    <row r="15" spans="1:19" ht="14" customHeight="1">
      <c r="A15" s="3" t="s">
        <v>32</v>
      </c>
      <c r="B15" s="4">
        <v>0</v>
      </c>
      <c r="C15" s="3">
        <v>0</v>
      </c>
      <c r="D15" s="5">
        <v>0</v>
      </c>
      <c r="E15" s="5">
        <v>0</v>
      </c>
      <c r="F15" s="5">
        <v>0</v>
      </c>
      <c r="G15" s="6">
        <v>0</v>
      </c>
      <c r="H15" s="6">
        <v>0</v>
      </c>
      <c r="I15" s="6">
        <v>0</v>
      </c>
      <c r="J15" s="6">
        <v>0</v>
      </c>
      <c r="K15" s="6">
        <v>-0.08</v>
      </c>
      <c r="L15" s="3">
        <v>-0.12</v>
      </c>
      <c r="M15" s="3">
        <v>-0.12</v>
      </c>
      <c r="N15" s="3">
        <v>-0.12</v>
      </c>
      <c r="O15" s="3">
        <v>-0.12</v>
      </c>
      <c r="P15" s="3">
        <v>-0.14000000000000001</v>
      </c>
      <c r="Q15" s="3">
        <v>-0.13</v>
      </c>
      <c r="R15" s="3">
        <v>-0.13</v>
      </c>
      <c r="S15" s="3">
        <v>-3.03</v>
      </c>
    </row>
    <row r="16" spans="1:19" ht="14" customHeight="1">
      <c r="A16" s="3" t="s">
        <v>33</v>
      </c>
      <c r="B16" s="4">
        <v>-1.45</v>
      </c>
      <c r="C16" s="3">
        <v>-6.6</v>
      </c>
      <c r="D16" s="5">
        <v>-2.65</v>
      </c>
      <c r="E16" s="5">
        <v>-7.99</v>
      </c>
      <c r="F16" s="5">
        <v>-2.42</v>
      </c>
      <c r="G16" s="6">
        <v>8.6</v>
      </c>
      <c r="H16" s="6">
        <v>-5.47</v>
      </c>
      <c r="I16" s="6">
        <v>0.6</v>
      </c>
      <c r="J16" s="6">
        <v>2.15</v>
      </c>
      <c r="K16" s="6">
        <v>-1.99</v>
      </c>
      <c r="L16" s="3">
        <v>0.95</v>
      </c>
      <c r="M16" s="3">
        <v>1.56</v>
      </c>
      <c r="N16" s="3">
        <v>-0.16</v>
      </c>
      <c r="O16" s="3">
        <v>-0.24</v>
      </c>
      <c r="P16" s="3">
        <v>0.53</v>
      </c>
      <c r="Q16" s="3">
        <v>-1.99</v>
      </c>
      <c r="R16" s="3">
        <v>0.2</v>
      </c>
      <c r="S16" s="3">
        <v>0.48</v>
      </c>
    </row>
    <row r="17" spans="1:19" ht="14" customHeight="1">
      <c r="A17" s="3" t="s">
        <v>34</v>
      </c>
      <c r="B17" s="4">
        <v>-20.309999999999999</v>
      </c>
      <c r="C17" s="3">
        <v>-6.05</v>
      </c>
      <c r="D17" s="5">
        <v>-0.48</v>
      </c>
      <c r="E17" s="5">
        <v>1.19</v>
      </c>
      <c r="F17" s="5">
        <v>32.61</v>
      </c>
      <c r="G17" s="6">
        <v>7.27</v>
      </c>
      <c r="H17" s="6">
        <v>0.19</v>
      </c>
      <c r="I17" s="6">
        <v>4.93</v>
      </c>
      <c r="J17" s="6">
        <v>18.809999999999999</v>
      </c>
      <c r="K17" s="6">
        <v>3.28</v>
      </c>
      <c r="L17" s="3">
        <v>2.9</v>
      </c>
      <c r="M17" s="3">
        <v>11.06</v>
      </c>
      <c r="N17" s="3">
        <v>12.27</v>
      </c>
      <c r="O17" s="3">
        <v>1.69</v>
      </c>
      <c r="P17" s="3">
        <v>5.46</v>
      </c>
      <c r="Q17" s="3">
        <v>12.66</v>
      </c>
      <c r="R17" s="3">
        <v>2.4</v>
      </c>
      <c r="S17" s="3">
        <v>1.1499999999999999</v>
      </c>
    </row>
    <row r="18" spans="1:19" ht="15.75" customHeight="1">
      <c r="A18" s="21" t="s">
        <v>35</v>
      </c>
      <c r="B18" s="8">
        <f t="shared" ref="B18:S18" si="6">B12+SUM(B14:B17)</f>
        <v>167.57999999999987</v>
      </c>
      <c r="C18" s="8">
        <f t="shared" si="6"/>
        <v>328.27</v>
      </c>
      <c r="D18" s="8">
        <f t="shared" si="6"/>
        <v>332.78</v>
      </c>
      <c r="E18" s="8">
        <f t="shared" si="6"/>
        <v>355.34</v>
      </c>
      <c r="F18" s="8">
        <f t="shared" si="6"/>
        <v>193.27000000000004</v>
      </c>
      <c r="G18" s="8">
        <f t="shared" si="6"/>
        <v>324.12999999999988</v>
      </c>
      <c r="H18" s="8">
        <f t="shared" si="6"/>
        <v>291.81000000000006</v>
      </c>
      <c r="I18" s="8">
        <f t="shared" si="6"/>
        <v>379.7299999999999</v>
      </c>
      <c r="J18" s="8">
        <f t="shared" si="6"/>
        <v>331.18000000000006</v>
      </c>
      <c r="K18" s="8">
        <f t="shared" si="6"/>
        <v>268.75</v>
      </c>
      <c r="L18" s="3">
        <f t="shared" si="6"/>
        <v>191.56999999999996</v>
      </c>
      <c r="M18" s="3">
        <f t="shared" si="6"/>
        <v>162.57</v>
      </c>
      <c r="N18" s="3">
        <f t="shared" si="6"/>
        <v>95.920000000000016</v>
      </c>
      <c r="O18" s="3">
        <f t="shared" si="6"/>
        <v>106</v>
      </c>
      <c r="P18" s="3">
        <f t="shared" si="6"/>
        <v>121.14000000000006</v>
      </c>
      <c r="Q18" s="3">
        <f t="shared" si="6"/>
        <v>105.08999999999996</v>
      </c>
      <c r="R18" s="3">
        <f t="shared" si="6"/>
        <v>31.96</v>
      </c>
      <c r="S18" s="3">
        <f t="shared" si="6"/>
        <v>76.81</v>
      </c>
    </row>
    <row r="19" spans="1:19" ht="14" customHeight="1">
      <c r="A19" s="3" t="s">
        <v>36</v>
      </c>
      <c r="B19" s="4">
        <v>-0.96</v>
      </c>
      <c r="C19" s="3">
        <v>1.6</v>
      </c>
      <c r="D19" s="5">
        <v>0.37</v>
      </c>
      <c r="E19" s="5">
        <v>0.37</v>
      </c>
      <c r="F19" s="5">
        <v>-1.05</v>
      </c>
      <c r="G19" s="6">
        <v>1.17</v>
      </c>
      <c r="H19" s="6">
        <v>0.03</v>
      </c>
      <c r="I19" s="6">
        <v>-0.5</v>
      </c>
      <c r="J19" s="6">
        <v>-0.52</v>
      </c>
      <c r="K19" s="6">
        <v>-0.15</v>
      </c>
      <c r="L19" s="3">
        <v>-1.06</v>
      </c>
      <c r="M19" s="3">
        <v>0.09</v>
      </c>
      <c r="N19" s="3">
        <v>1.06</v>
      </c>
      <c r="O19" s="3">
        <v>-0.79</v>
      </c>
      <c r="P19" s="3">
        <v>0.11</v>
      </c>
      <c r="Q19" s="3">
        <v>-0.53</v>
      </c>
      <c r="R19" s="3">
        <v>-0.34</v>
      </c>
      <c r="S19" s="3">
        <v>0.17</v>
      </c>
    </row>
    <row r="20" spans="1:19" ht="14" customHeight="1">
      <c r="A20" s="3" t="s">
        <v>37</v>
      </c>
      <c r="B20" s="4">
        <v>-41.15</v>
      </c>
      <c r="C20" s="3">
        <v>-84.46</v>
      </c>
      <c r="D20" s="5">
        <v>-39.869999999999997</v>
      </c>
      <c r="E20" s="5">
        <v>-48.19</v>
      </c>
      <c r="F20" s="5">
        <v>-44.81</v>
      </c>
      <c r="G20" s="6">
        <v>-50.83</v>
      </c>
      <c r="H20" s="6">
        <v>-42.02</v>
      </c>
      <c r="I20" s="6">
        <v>-59.14</v>
      </c>
      <c r="J20" s="6">
        <v>-50.68</v>
      </c>
      <c r="K20" s="6">
        <v>-35.799999999999997</v>
      </c>
      <c r="L20" s="3">
        <v>-35.130000000000003</v>
      </c>
      <c r="M20" s="3">
        <v>-31.58</v>
      </c>
      <c r="N20" s="3">
        <v>-15.98</v>
      </c>
      <c r="O20" s="3">
        <v>-10.65</v>
      </c>
      <c r="P20" s="3">
        <v>-15.37</v>
      </c>
      <c r="Q20" s="3">
        <v>-15.58</v>
      </c>
      <c r="R20" s="3">
        <v>-5.65</v>
      </c>
      <c r="S20" s="3">
        <v>-10.79</v>
      </c>
    </row>
    <row r="21" spans="1:19" ht="15.75" customHeight="1">
      <c r="A21" s="21" t="s">
        <v>38</v>
      </c>
      <c r="B21" s="8">
        <f t="shared" ref="B21:S21" si="7">SUM(B18:B20)</f>
        <v>125.46999999999986</v>
      </c>
      <c r="C21" s="8">
        <f t="shared" si="7"/>
        <v>245.41000000000003</v>
      </c>
      <c r="D21" s="8">
        <f t="shared" si="7"/>
        <v>293.27999999999997</v>
      </c>
      <c r="E21" s="8">
        <f t="shared" si="7"/>
        <v>307.52</v>
      </c>
      <c r="F21" s="8">
        <f t="shared" si="7"/>
        <v>147.41000000000003</v>
      </c>
      <c r="G21" s="8">
        <f t="shared" si="7"/>
        <v>274.46999999999991</v>
      </c>
      <c r="H21" s="8">
        <f t="shared" si="7"/>
        <v>249.82000000000002</v>
      </c>
      <c r="I21" s="8">
        <f t="shared" si="7"/>
        <v>320.08999999999992</v>
      </c>
      <c r="J21" s="8">
        <f t="shared" si="7"/>
        <v>279.98000000000008</v>
      </c>
      <c r="K21" s="8">
        <f t="shared" si="7"/>
        <v>232.8</v>
      </c>
      <c r="L21" s="3">
        <f t="shared" si="7"/>
        <v>155.37999999999997</v>
      </c>
      <c r="M21" s="3">
        <f t="shared" si="7"/>
        <v>131.07999999999998</v>
      </c>
      <c r="N21" s="3">
        <f t="shared" si="7"/>
        <v>81.000000000000014</v>
      </c>
      <c r="O21" s="3">
        <f t="shared" si="7"/>
        <v>94.559999999999988</v>
      </c>
      <c r="P21" s="3">
        <f t="shared" si="7"/>
        <v>105.88000000000005</v>
      </c>
      <c r="Q21" s="3">
        <f t="shared" si="7"/>
        <v>88.979999999999961</v>
      </c>
      <c r="R21" s="3">
        <f t="shared" si="7"/>
        <v>25.97</v>
      </c>
      <c r="S21" s="3">
        <f t="shared" si="7"/>
        <v>66.19</v>
      </c>
    </row>
    <row r="22" spans="1:19" ht="15.75" customHeight="1">
      <c r="A22" s="21" t="s">
        <v>39</v>
      </c>
      <c r="B22" s="9">
        <f t="shared" ref="B22:S22" si="8">B21/B4</f>
        <v>0.11811275640361847</v>
      </c>
      <c r="C22" s="9">
        <f t="shared" si="8"/>
        <v>0.19805184324359226</v>
      </c>
      <c r="D22" s="9">
        <f t="shared" si="8"/>
        <v>0.2708633492186634</v>
      </c>
      <c r="E22" s="9">
        <f t="shared" si="8"/>
        <v>0.29573780581627945</v>
      </c>
      <c r="F22" s="9">
        <f t="shared" si="8"/>
        <v>0.15407851827075844</v>
      </c>
      <c r="G22" s="9">
        <f t="shared" si="8"/>
        <v>0.2481421209655546</v>
      </c>
      <c r="H22" s="9">
        <f t="shared" si="8"/>
        <v>0.25144433037421748</v>
      </c>
      <c r="I22" s="9">
        <f t="shared" si="8"/>
        <v>0.32978909735315626</v>
      </c>
      <c r="J22" s="9">
        <f t="shared" si="8"/>
        <v>0.32251301663364518</v>
      </c>
      <c r="K22" s="9">
        <f t="shared" si="8"/>
        <v>0.26192619261926198</v>
      </c>
      <c r="L22" s="9">
        <f t="shared" si="8"/>
        <v>0.22571179546775128</v>
      </c>
      <c r="M22" s="9">
        <f t="shared" si="8"/>
        <v>0.25072685539403211</v>
      </c>
      <c r="N22" s="9">
        <f t="shared" si="8"/>
        <v>0.21521375242447596</v>
      </c>
      <c r="O22" s="9">
        <f t="shared" si="8"/>
        <v>0.23746860873932696</v>
      </c>
      <c r="P22" s="9">
        <f t="shared" si="8"/>
        <v>0.29821991888237959</v>
      </c>
      <c r="Q22" s="9">
        <f t="shared" si="8"/>
        <v>0.2830152671755724</v>
      </c>
      <c r="R22" s="9">
        <f t="shared" si="8"/>
        <v>0.10914974992644895</v>
      </c>
      <c r="S22" s="9">
        <f t="shared" si="8"/>
        <v>0.24307748806463458</v>
      </c>
    </row>
    <row r="23" spans="1:19" ht="15" customHeight="1">
      <c r="A23" s="21" t="s">
        <v>40</v>
      </c>
      <c r="B23" s="4">
        <v>56.16</v>
      </c>
      <c r="C23" s="3">
        <v>56.1</v>
      </c>
      <c r="D23" s="5">
        <v>55.97</v>
      </c>
      <c r="E23" s="5">
        <v>55.87</v>
      </c>
      <c r="F23" s="5">
        <v>55.67</v>
      </c>
      <c r="G23" s="6">
        <v>55.57</v>
      </c>
      <c r="H23" s="6">
        <v>55.436</v>
      </c>
      <c r="I23" s="6">
        <v>55.33</v>
      </c>
      <c r="J23" s="6">
        <v>55.1</v>
      </c>
      <c r="K23" s="6">
        <v>54.78</v>
      </c>
      <c r="L23" s="3">
        <v>54.62</v>
      </c>
      <c r="M23" s="3">
        <v>54.38</v>
      </c>
      <c r="N23" s="3">
        <v>52.82</v>
      </c>
      <c r="O23" s="3">
        <v>51</v>
      </c>
      <c r="P23" s="3">
        <v>50.51</v>
      </c>
      <c r="Q23" s="3">
        <v>50.42</v>
      </c>
      <c r="R23" s="3">
        <v>50.37</v>
      </c>
      <c r="S23" s="3">
        <v>50.31</v>
      </c>
    </row>
    <row r="24" spans="1:19" ht="15.75" customHeight="1">
      <c r="A24" s="21" t="s">
        <v>41</v>
      </c>
      <c r="B24" s="3">
        <f t="shared" ref="B24:S24" si="9">B23/4</f>
        <v>14.04</v>
      </c>
      <c r="C24" s="3">
        <f t="shared" si="9"/>
        <v>14.025</v>
      </c>
      <c r="D24" s="3">
        <f t="shared" si="9"/>
        <v>13.9925</v>
      </c>
      <c r="E24" s="3">
        <f t="shared" si="9"/>
        <v>13.967499999999999</v>
      </c>
      <c r="F24" s="3">
        <f t="shared" si="9"/>
        <v>13.9175</v>
      </c>
      <c r="G24" s="3">
        <f t="shared" si="9"/>
        <v>13.8925</v>
      </c>
      <c r="H24" s="3">
        <f t="shared" si="9"/>
        <v>13.859</v>
      </c>
      <c r="I24" s="3">
        <f t="shared" si="9"/>
        <v>13.8325</v>
      </c>
      <c r="J24" s="3">
        <f t="shared" si="9"/>
        <v>13.775</v>
      </c>
      <c r="K24" s="3">
        <f t="shared" si="9"/>
        <v>13.695</v>
      </c>
      <c r="L24" s="3">
        <f t="shared" si="9"/>
        <v>13.654999999999999</v>
      </c>
      <c r="M24" s="3">
        <f t="shared" si="9"/>
        <v>13.595000000000001</v>
      </c>
      <c r="N24" s="3">
        <f t="shared" si="9"/>
        <v>13.205</v>
      </c>
      <c r="O24" s="3">
        <f t="shared" si="9"/>
        <v>12.75</v>
      </c>
      <c r="P24" s="3">
        <f t="shared" si="9"/>
        <v>12.6275</v>
      </c>
      <c r="Q24" s="3">
        <f t="shared" si="9"/>
        <v>12.605</v>
      </c>
      <c r="R24" s="3">
        <f t="shared" si="9"/>
        <v>12.592499999999999</v>
      </c>
      <c r="S24" s="3">
        <f t="shared" si="9"/>
        <v>12.577500000000001</v>
      </c>
    </row>
    <row r="25" spans="1:19" ht="15.75" customHeight="1">
      <c r="A25" s="21" t="s">
        <v>42</v>
      </c>
      <c r="B25" s="3">
        <f t="shared" ref="B25:S25" si="10">B21/B24</f>
        <v>8.9366096866096765</v>
      </c>
      <c r="C25" s="3">
        <f t="shared" si="10"/>
        <v>17.498039215686276</v>
      </c>
      <c r="D25" s="3">
        <f t="shared" si="10"/>
        <v>20.959799892799712</v>
      </c>
      <c r="E25" s="3">
        <f t="shared" si="10"/>
        <v>22.016824771791658</v>
      </c>
      <c r="F25" s="3">
        <f t="shared" si="10"/>
        <v>10.591701095742771</v>
      </c>
      <c r="G25" s="3">
        <f t="shared" si="10"/>
        <v>19.756703257153134</v>
      </c>
      <c r="H25" s="3">
        <f t="shared" si="10"/>
        <v>18.025831589580779</v>
      </c>
      <c r="I25" s="3">
        <f t="shared" si="10"/>
        <v>23.140430146394355</v>
      </c>
      <c r="J25" s="3">
        <f t="shared" si="10"/>
        <v>20.325226860254087</v>
      </c>
      <c r="K25" s="3">
        <f t="shared" si="10"/>
        <v>16.998904709748082</v>
      </c>
      <c r="L25" s="3">
        <f t="shared" si="10"/>
        <v>11.378982057854264</v>
      </c>
      <c r="M25" s="3">
        <f t="shared" si="10"/>
        <v>9.6417800662008073</v>
      </c>
      <c r="N25" s="3">
        <f t="shared" si="10"/>
        <v>6.1340401363120041</v>
      </c>
      <c r="O25" s="3">
        <f t="shared" si="10"/>
        <v>7.4164705882352928</v>
      </c>
      <c r="P25" s="3">
        <f t="shared" si="10"/>
        <v>8.3848742823203377</v>
      </c>
      <c r="Q25" s="3">
        <f t="shared" si="10"/>
        <v>7.059103530345098</v>
      </c>
      <c r="R25" s="3">
        <f t="shared" si="10"/>
        <v>2.0623386936668653</v>
      </c>
      <c r="S25" s="3">
        <f t="shared" si="10"/>
        <v>5.2625720532697269</v>
      </c>
    </row>
    <row r="26" spans="1:19" ht="15" customHeight="1">
      <c r="A26" s="21" t="s">
        <v>43</v>
      </c>
      <c r="B26" s="4">
        <v>8.48</v>
      </c>
      <c r="C26" s="3">
        <v>16.510000000000002</v>
      </c>
      <c r="D26" s="5">
        <v>19.7</v>
      </c>
      <c r="E26" s="5">
        <v>20.75</v>
      </c>
      <c r="F26" s="5">
        <v>9.94</v>
      </c>
      <c r="G26" s="6">
        <v>18.53</v>
      </c>
      <c r="H26" s="6">
        <v>16.91</v>
      </c>
      <c r="I26" s="6">
        <v>21.61</v>
      </c>
      <c r="J26" s="6">
        <v>18.96</v>
      </c>
      <c r="K26" s="6">
        <v>15.83</v>
      </c>
      <c r="L26" s="3">
        <v>10.6</v>
      </c>
      <c r="M26" s="3">
        <v>9</v>
      </c>
      <c r="N26" s="3">
        <v>5.55</v>
      </c>
      <c r="O26" s="3">
        <v>6.52</v>
      </c>
      <c r="P26" s="3">
        <v>7.34</v>
      </c>
      <c r="Q26" s="3">
        <v>6.22</v>
      </c>
      <c r="R26" s="3">
        <v>1.84</v>
      </c>
      <c r="S26" s="3">
        <v>4.66</v>
      </c>
    </row>
    <row r="27" spans="1:19" ht="15.75" customHeight="1">
      <c r="A27" s="21" t="s">
        <v>44</v>
      </c>
      <c r="B27" s="8">
        <f t="shared" ref="B27:S27" si="11">B21-B14-B17</f>
        <v>152.09999999999985</v>
      </c>
      <c r="C27" s="8">
        <f t="shared" si="11"/>
        <v>187.73000000000005</v>
      </c>
      <c r="D27" s="8">
        <f t="shared" si="11"/>
        <v>208.10999999999996</v>
      </c>
      <c r="E27" s="8">
        <f t="shared" si="11"/>
        <v>202.10999999999999</v>
      </c>
      <c r="F27" s="8">
        <f t="shared" si="11"/>
        <v>112.57000000000004</v>
      </c>
      <c r="G27" s="8">
        <f t="shared" si="11"/>
        <v>214.86999999999992</v>
      </c>
      <c r="H27" s="8">
        <f t="shared" si="11"/>
        <v>195.47000000000003</v>
      </c>
      <c r="I27" s="8">
        <f t="shared" si="11"/>
        <v>266.6099999999999</v>
      </c>
      <c r="J27" s="8">
        <f t="shared" si="11"/>
        <v>210.69000000000008</v>
      </c>
      <c r="K27" s="8">
        <f t="shared" si="11"/>
        <v>185.93</v>
      </c>
      <c r="L27" s="3">
        <f t="shared" si="11"/>
        <v>131.20999999999995</v>
      </c>
      <c r="M27" s="3">
        <f t="shared" si="11"/>
        <v>97.139999999999986</v>
      </c>
      <c r="N27" s="3">
        <f t="shared" si="11"/>
        <v>54.100000000000023</v>
      </c>
      <c r="O27" s="3">
        <f t="shared" si="11"/>
        <v>79.349999999999994</v>
      </c>
      <c r="P27" s="3">
        <f t="shared" si="11"/>
        <v>89.500000000000057</v>
      </c>
      <c r="Q27" s="3">
        <f t="shared" si="11"/>
        <v>68.749999999999972</v>
      </c>
      <c r="R27" s="3">
        <f t="shared" si="11"/>
        <v>15.609999999999998</v>
      </c>
      <c r="S27" s="3">
        <f t="shared" si="11"/>
        <v>55.89</v>
      </c>
    </row>
    <row r="28" spans="1:19" ht="15.75" customHeight="1">
      <c r="A28" s="21" t="s">
        <v>45</v>
      </c>
      <c r="B28" s="3">
        <f t="shared" ref="B28:S28" si="12">B27/B24</f>
        <v>10.833333333333323</v>
      </c>
      <c r="C28" s="3">
        <f t="shared" si="12"/>
        <v>13.385383244206777</v>
      </c>
      <c r="D28" s="3">
        <f t="shared" si="12"/>
        <v>14.872967661247094</v>
      </c>
      <c r="E28" s="3">
        <f t="shared" si="12"/>
        <v>14.470019688562735</v>
      </c>
      <c r="F28" s="3">
        <f t="shared" si="12"/>
        <v>8.0883779414406352</v>
      </c>
      <c r="G28" s="3">
        <f t="shared" si="12"/>
        <v>15.466618679143417</v>
      </c>
      <c r="H28" s="3">
        <f t="shared" si="12"/>
        <v>14.104192221661016</v>
      </c>
      <c r="I28" s="3">
        <f t="shared" si="12"/>
        <v>19.274173142960414</v>
      </c>
      <c r="J28" s="3">
        <f t="shared" si="12"/>
        <v>15.295099818511803</v>
      </c>
      <c r="K28" s="3">
        <f t="shared" si="12"/>
        <v>13.576487769258854</v>
      </c>
      <c r="L28" s="3">
        <f t="shared" si="12"/>
        <v>9.6089344562431318</v>
      </c>
      <c r="M28" s="3">
        <f t="shared" si="12"/>
        <v>7.1452739977933053</v>
      </c>
      <c r="N28" s="3">
        <f t="shared" si="12"/>
        <v>4.0969329799318457</v>
      </c>
      <c r="O28" s="3">
        <f t="shared" si="12"/>
        <v>6.2235294117647051</v>
      </c>
      <c r="P28" s="3">
        <f t="shared" si="12"/>
        <v>7.0877054048703272</v>
      </c>
      <c r="Q28" s="3">
        <f t="shared" si="12"/>
        <v>5.4541848472828223</v>
      </c>
      <c r="R28" s="3">
        <f t="shared" si="12"/>
        <v>1.2396267619614849</v>
      </c>
      <c r="S28" s="3">
        <f t="shared" si="12"/>
        <v>4.4436493738819323</v>
      </c>
    </row>
    <row r="29" spans="1:19" ht="15.75" customHeight="1">
      <c r="A29" s="3"/>
      <c r="B29" s="3"/>
      <c r="C29" s="3"/>
      <c r="D29" s="1"/>
      <c r="E29" s="1"/>
      <c r="F29" s="1"/>
      <c r="G29" s="21" t="s">
        <v>46</v>
      </c>
      <c r="H29" s="21" t="s">
        <v>47</v>
      </c>
      <c r="I29" s="1" t="s">
        <v>48</v>
      </c>
      <c r="J29" s="21" t="s">
        <v>49</v>
      </c>
      <c r="K29" s="1" t="s">
        <v>50</v>
      </c>
      <c r="L29" s="21" t="s">
        <v>51</v>
      </c>
      <c r="M29" s="1"/>
      <c r="N29" s="1"/>
      <c r="O29" s="1"/>
      <c r="P29" s="1"/>
      <c r="Q29" s="1"/>
      <c r="R29" s="1"/>
      <c r="S29" s="1"/>
    </row>
    <row r="30" spans="1:19" ht="15.75" customHeight="1">
      <c r="A30" s="3"/>
      <c r="B30" s="8">
        <f>SUM(B6:E6)</f>
        <v>2476.5299999999997</v>
      </c>
      <c r="C30" s="3"/>
      <c r="D30" s="1"/>
      <c r="E30" s="1"/>
      <c r="F30" s="21" t="s">
        <v>52</v>
      </c>
      <c r="G30" s="5"/>
      <c r="H30" s="5">
        <f>SUM($B25:$E25)</f>
        <v>69.411273566887331</v>
      </c>
      <c r="I30" s="5">
        <f ca="1">IFERROR(__xludf.DUMMYFUNCTION("GOOGLEFINANCE(""CURRENCY:USDCNY"")"),6.7656481)</f>
        <v>6.7656480999999999</v>
      </c>
      <c r="J30" s="5">
        <f ca="1">IFERROR(__xludf.DUMMYFUNCTION("GOOGLEFINANCE(""NASDAQ:PDD"",""price"")"),85.07)</f>
        <v>85.07</v>
      </c>
      <c r="K30" s="5">
        <f ca="1">J30/(H30/I30)</f>
        <v>8.2919337780537141</v>
      </c>
      <c r="L30" s="5">
        <f ca="1">J30*$D24</f>
        <v>1190.3419749999998</v>
      </c>
      <c r="M30" s="5"/>
      <c r="N30" s="10"/>
      <c r="O30" s="10"/>
      <c r="P30" s="5"/>
      <c r="Q30" s="5"/>
      <c r="R30" s="5"/>
      <c r="S30" s="5"/>
    </row>
    <row r="31" spans="1:19" ht="15.75" customHeight="1">
      <c r="A31" s="3"/>
      <c r="B31" s="8">
        <f>SUM(B21:E21)</f>
        <v>971.67999999999984</v>
      </c>
      <c r="C31" s="3"/>
      <c r="D31" s="1"/>
      <c r="E31" s="1"/>
      <c r="F31" s="21" t="s">
        <v>53</v>
      </c>
      <c r="G31" s="6"/>
      <c r="H31" s="1">
        <f>SUM($B26:$E26)</f>
        <v>65.44</v>
      </c>
      <c r="I31" s="1"/>
      <c r="J31" s="1"/>
      <c r="K31" s="5">
        <f ca="1">J30/(H31/I30)</f>
        <v>8.7951357559138135</v>
      </c>
      <c r="L31" s="5">
        <f ca="1">L30*I30</f>
        <v>8053.434921508996</v>
      </c>
      <c r="M31" s="22" t="s">
        <v>54</v>
      </c>
      <c r="N31" s="1"/>
      <c r="O31" s="1"/>
      <c r="P31" s="1"/>
      <c r="Q31" s="5"/>
      <c r="R31" s="5"/>
      <c r="S31" s="5"/>
    </row>
    <row r="32" spans="1:19" ht="15.75" customHeight="1">
      <c r="A32" s="3"/>
      <c r="B32" s="3"/>
      <c r="C32" s="3"/>
      <c r="D32" s="1"/>
      <c r="E32" s="1"/>
      <c r="F32" s="21" t="s">
        <v>55</v>
      </c>
      <c r="G32" s="1"/>
      <c r="H32" s="1">
        <f>SUM($B28:$E28)</f>
        <v>53.561703927349932</v>
      </c>
      <c r="I32" s="1"/>
      <c r="J32" s="1"/>
      <c r="K32" s="5">
        <f ca="1">J30/(H32/I30)</f>
        <v>10.745619382230071</v>
      </c>
      <c r="L32" s="1">
        <f ca="1">L31-$D60</f>
        <v>4139.4049215089972</v>
      </c>
      <c r="M32" s="21" t="s">
        <v>56</v>
      </c>
      <c r="N32" s="1"/>
      <c r="O32" s="1"/>
      <c r="P32" s="1"/>
      <c r="Q32" s="5"/>
      <c r="R32" s="1"/>
      <c r="S32" s="1"/>
    </row>
    <row r="33" spans="1:20" ht="15.75" customHeight="1">
      <c r="A33" s="3"/>
      <c r="B33" s="3"/>
      <c r="C33" s="3"/>
      <c r="D33" s="1"/>
      <c r="E33" s="1"/>
      <c r="F33" s="21" t="s">
        <v>38</v>
      </c>
      <c r="G33" s="1"/>
      <c r="H33" s="11">
        <f>SUM($B21:$E21)</f>
        <v>971.67999999999984</v>
      </c>
      <c r="I33" s="1">
        <f ca="1">H33/I30</f>
        <v>143.61964820487779</v>
      </c>
      <c r="J33" s="21" t="s">
        <v>57</v>
      </c>
      <c r="K33" s="1">
        <f ca="1">L32/H33</f>
        <v>4.2600495240295135</v>
      </c>
      <c r="L33" s="1"/>
      <c r="M33" s="5"/>
      <c r="N33" s="1"/>
      <c r="O33" s="1"/>
      <c r="P33" s="1"/>
      <c r="Q33" s="1"/>
      <c r="R33" s="1"/>
      <c r="S33" s="5"/>
      <c r="T33" s="5"/>
    </row>
    <row r="34" spans="1:20" ht="12.5" customHeight="1">
      <c r="A34" s="3"/>
      <c r="B34" s="3"/>
      <c r="C34" s="3"/>
      <c r="D34" s="1"/>
      <c r="E34" s="1"/>
      <c r="F34" s="21" t="s">
        <v>58</v>
      </c>
      <c r="G34" s="1"/>
      <c r="H34" s="11">
        <f>SUM($B27:$E27)</f>
        <v>750.04999999999984</v>
      </c>
      <c r="I34" s="1"/>
      <c r="J34" s="21" t="s">
        <v>59</v>
      </c>
      <c r="K34" s="1">
        <f ca="1">L32/H34</f>
        <v>5.5188386394360354</v>
      </c>
      <c r="L34" s="1"/>
      <c r="M34" s="5"/>
      <c r="N34" s="1"/>
      <c r="O34" s="1"/>
      <c r="P34" s="1"/>
      <c r="Q34" s="1"/>
      <c r="R34" s="1"/>
      <c r="S34" s="5"/>
    </row>
    <row r="35" spans="1:20" ht="12.5" customHeight="1">
      <c r="A35" s="3"/>
      <c r="B35" s="3"/>
      <c r="C35" s="3"/>
      <c r="D35" s="3"/>
      <c r="E35" s="3"/>
      <c r="F35" s="3"/>
      <c r="G35" s="3"/>
      <c r="H35" s="3"/>
      <c r="I35" s="3"/>
      <c r="J35" s="3"/>
      <c r="K35" s="3"/>
      <c r="L35" s="3"/>
      <c r="M35" s="3"/>
      <c r="N35" s="3"/>
      <c r="O35" s="3"/>
    </row>
    <row r="36" spans="1:20" ht="14" customHeight="1">
      <c r="A36" s="21" t="s">
        <v>60</v>
      </c>
      <c r="B36" s="4">
        <v>1230.4100000000001</v>
      </c>
      <c r="C36" s="3">
        <v>1089</v>
      </c>
      <c r="D36" s="3">
        <v>923.87</v>
      </c>
      <c r="E36" s="3">
        <v>632.22</v>
      </c>
      <c r="F36" s="3">
        <v>701.26</v>
      </c>
      <c r="G36" s="3">
        <v>577.67999999999995</v>
      </c>
      <c r="H36" s="3">
        <v>652.95000000000005</v>
      </c>
      <c r="I36" s="3">
        <v>567.55999999999995</v>
      </c>
      <c r="J36" s="3">
        <v>555.91999999999996</v>
      </c>
      <c r="K36" s="3">
        <v>597.94000000000005</v>
      </c>
      <c r="L36" s="3">
        <v>549.4</v>
      </c>
      <c r="M36" s="3">
        <v>313.79000000000002</v>
      </c>
      <c r="N36" s="3">
        <v>197.71</v>
      </c>
      <c r="O36" s="3">
        <v>343.26</v>
      </c>
    </row>
    <row r="37" spans="1:20" ht="14" customHeight="1">
      <c r="A37" s="21" t="s">
        <v>61</v>
      </c>
      <c r="B37" s="4">
        <v>762.13</v>
      </c>
      <c r="C37" s="3">
        <v>738.3</v>
      </c>
      <c r="D37" s="3">
        <v>710.03</v>
      </c>
      <c r="E37" s="3">
        <v>666.77</v>
      </c>
      <c r="F37" s="3">
        <v>651.32000000000005</v>
      </c>
      <c r="G37" s="3">
        <v>684.26</v>
      </c>
      <c r="H37" s="3">
        <v>603.92999999999995</v>
      </c>
      <c r="I37" s="3">
        <v>593.6</v>
      </c>
      <c r="J37" s="3">
        <v>591.13</v>
      </c>
      <c r="K37" s="3">
        <v>619.85</v>
      </c>
      <c r="L37" s="3">
        <v>564.13</v>
      </c>
      <c r="M37" s="3">
        <v>520.54999999999995</v>
      </c>
      <c r="N37" s="3">
        <v>508.99</v>
      </c>
      <c r="O37" s="3">
        <v>579.74</v>
      </c>
    </row>
    <row r="38" spans="1:20" ht="14" customHeight="1">
      <c r="A38" s="3" t="s">
        <v>62</v>
      </c>
      <c r="B38" s="4">
        <v>57.58</v>
      </c>
      <c r="C38" s="3">
        <v>51.09</v>
      </c>
      <c r="D38" s="3">
        <v>59.98</v>
      </c>
      <c r="E38" s="3">
        <v>60.07</v>
      </c>
      <c r="F38" s="3">
        <v>54.75</v>
      </c>
      <c r="G38" s="3">
        <v>36.79</v>
      </c>
      <c r="H38" s="3">
        <v>46.34</v>
      </c>
      <c r="I38" s="3">
        <v>54.91</v>
      </c>
      <c r="J38" s="3">
        <v>47.69</v>
      </c>
      <c r="K38" s="3">
        <v>39.14</v>
      </c>
      <c r="L38" s="3">
        <v>25.47</v>
      </c>
      <c r="M38" s="3">
        <v>15.6</v>
      </c>
      <c r="N38" s="3">
        <v>6.93</v>
      </c>
      <c r="O38" s="3">
        <v>5.88</v>
      </c>
    </row>
    <row r="39" spans="1:20" ht="14" customHeight="1">
      <c r="A39" s="3" t="s">
        <v>63</v>
      </c>
      <c r="B39" s="4">
        <v>3130.3</v>
      </c>
      <c r="C39" s="3">
        <v>3134.08</v>
      </c>
      <c r="D39" s="3">
        <v>3313.83</v>
      </c>
      <c r="E39" s="3">
        <v>3239.09</v>
      </c>
      <c r="F39" s="3">
        <v>2943.75</v>
      </c>
      <c r="G39" s="3">
        <v>2737.91</v>
      </c>
      <c r="H39" s="3">
        <v>2431.66</v>
      </c>
      <c r="I39" s="3">
        <v>2281.6999999999998</v>
      </c>
      <c r="J39" s="3">
        <v>1865.4</v>
      </c>
      <c r="K39" s="3">
        <v>1574.15</v>
      </c>
      <c r="L39" s="3">
        <v>1479.06</v>
      </c>
      <c r="M39" s="3">
        <v>1481.29</v>
      </c>
      <c r="N39" s="3">
        <v>1372.64</v>
      </c>
      <c r="O39" s="3">
        <v>1151.1300000000001</v>
      </c>
    </row>
    <row r="40" spans="1:20" ht="14" customHeight="1">
      <c r="A40" s="3" t="s">
        <v>64</v>
      </c>
      <c r="B40" s="4">
        <v>97.68</v>
      </c>
      <c r="C40" s="3">
        <v>102.05</v>
      </c>
      <c r="D40" s="3">
        <v>91.49</v>
      </c>
      <c r="E40" s="3">
        <v>86.86</v>
      </c>
      <c r="F40" s="3">
        <v>74.12</v>
      </c>
      <c r="G40" s="3">
        <v>75.69</v>
      </c>
      <c r="H40" s="3">
        <v>92.89</v>
      </c>
      <c r="I40" s="3">
        <v>59.89</v>
      </c>
      <c r="J40" s="3">
        <v>69.739999999999995</v>
      </c>
      <c r="K40" s="3">
        <v>74.28</v>
      </c>
      <c r="L40" s="3">
        <v>61.39</v>
      </c>
      <c r="M40" s="3">
        <v>50.97</v>
      </c>
      <c r="N40" s="3">
        <v>48.96</v>
      </c>
      <c r="O40" s="3">
        <v>63.19</v>
      </c>
    </row>
    <row r="41" spans="1:20" ht="14" customHeight="1">
      <c r="A41" s="3" t="s">
        <v>65</v>
      </c>
      <c r="B41" s="4">
        <v>87.45</v>
      </c>
      <c r="C41" s="3">
        <v>75.27</v>
      </c>
      <c r="D41" s="3">
        <v>64.400000000000006</v>
      </c>
      <c r="E41" s="3">
        <v>75.41</v>
      </c>
      <c r="F41" s="3">
        <v>52.55</v>
      </c>
      <c r="G41" s="3">
        <v>44.13</v>
      </c>
      <c r="H41" s="3">
        <v>40.54</v>
      </c>
      <c r="I41" s="3">
        <v>39.58</v>
      </c>
      <c r="J41" s="3">
        <v>34.82</v>
      </c>
      <c r="K41" s="3">
        <v>42.13</v>
      </c>
      <c r="L41" s="3">
        <v>36.29</v>
      </c>
      <c r="M41" s="3">
        <v>29.85</v>
      </c>
      <c r="N41" s="3">
        <v>22.88</v>
      </c>
      <c r="O41" s="3">
        <v>22.98</v>
      </c>
    </row>
    <row r="42" spans="1:20" ht="12.5" customHeight="1">
      <c r="A42" s="21" t="s">
        <v>66</v>
      </c>
      <c r="B42" s="3">
        <f t="shared" ref="B42:O42" si="13">SUM(B36:B41)</f>
        <v>5365.55</v>
      </c>
      <c r="C42" s="3">
        <f t="shared" si="13"/>
        <v>5189.79</v>
      </c>
      <c r="D42" s="3">
        <f t="shared" si="13"/>
        <v>5163.5999999999995</v>
      </c>
      <c r="E42" s="3">
        <f t="shared" si="13"/>
        <v>4760.4199999999992</v>
      </c>
      <c r="F42" s="3">
        <f t="shared" si="13"/>
        <v>4477.75</v>
      </c>
      <c r="G42" s="3">
        <f t="shared" si="13"/>
        <v>4156.46</v>
      </c>
      <c r="H42" s="3">
        <f t="shared" si="13"/>
        <v>3868.31</v>
      </c>
      <c r="I42" s="3">
        <f t="shared" si="13"/>
        <v>3597.2399999999993</v>
      </c>
      <c r="J42" s="3">
        <f t="shared" si="13"/>
        <v>3164.7000000000003</v>
      </c>
      <c r="K42" s="3">
        <f t="shared" si="13"/>
        <v>2947.4900000000002</v>
      </c>
      <c r="L42" s="3">
        <f t="shared" si="13"/>
        <v>2715.74</v>
      </c>
      <c r="M42" s="3">
        <f t="shared" si="13"/>
        <v>2412.0499999999997</v>
      </c>
      <c r="N42" s="3">
        <f t="shared" si="13"/>
        <v>2158.11</v>
      </c>
      <c r="O42" s="3">
        <f t="shared" si="13"/>
        <v>2166.1800000000003</v>
      </c>
    </row>
    <row r="43" spans="1:20" ht="14" customHeight="1">
      <c r="A43" s="3" t="s">
        <v>67</v>
      </c>
      <c r="B43" s="4">
        <v>11.53</v>
      </c>
      <c r="C43" s="3"/>
      <c r="D43" s="3"/>
      <c r="E43" s="3"/>
      <c r="F43" s="3"/>
      <c r="G43" s="3"/>
      <c r="H43" s="3"/>
      <c r="I43" s="3"/>
      <c r="J43" s="3">
        <v>8.81</v>
      </c>
      <c r="K43" s="3">
        <v>9.7899999999999991</v>
      </c>
      <c r="L43" s="3">
        <v>10.65</v>
      </c>
      <c r="M43" s="3">
        <v>10.64</v>
      </c>
      <c r="N43" s="3">
        <v>9.48</v>
      </c>
      <c r="O43" s="3">
        <v>10.45</v>
      </c>
    </row>
    <row r="44" spans="1:20" ht="14" customHeight="1">
      <c r="A44" s="3" t="s">
        <v>68</v>
      </c>
      <c r="B44" s="4">
        <v>0.15</v>
      </c>
      <c r="C44" s="3"/>
      <c r="D44" s="3"/>
      <c r="E44" s="3"/>
      <c r="F44" s="3"/>
      <c r="G44" s="3"/>
      <c r="H44" s="3"/>
      <c r="I44" s="3"/>
      <c r="J44" s="3">
        <v>0.22</v>
      </c>
      <c r="K44" s="3">
        <v>0.21</v>
      </c>
      <c r="L44" s="3">
        <v>0.21</v>
      </c>
      <c r="M44" s="3">
        <v>0.22</v>
      </c>
      <c r="N44" s="3">
        <v>0.23</v>
      </c>
      <c r="O44" s="3">
        <v>1.34</v>
      </c>
    </row>
    <row r="45" spans="1:20" ht="14" customHeight="1">
      <c r="A45" s="3" t="s">
        <v>69</v>
      </c>
      <c r="B45" s="4">
        <v>46</v>
      </c>
      <c r="C45" s="3"/>
      <c r="D45" s="3"/>
      <c r="E45" s="3"/>
      <c r="F45" s="3"/>
      <c r="G45" s="3"/>
      <c r="H45" s="3"/>
      <c r="I45" s="3"/>
      <c r="J45" s="3">
        <v>39.54</v>
      </c>
      <c r="K45" s="3">
        <v>41.05</v>
      </c>
      <c r="L45" s="3">
        <v>36.619999999999997</v>
      </c>
      <c r="M45" s="3">
        <v>21.22</v>
      </c>
      <c r="N45" s="3">
        <v>16.399999999999999</v>
      </c>
      <c r="O45" s="3">
        <v>14.16</v>
      </c>
    </row>
    <row r="46" spans="1:20" ht="14" customHeight="1">
      <c r="A46" s="21" t="s">
        <v>70</v>
      </c>
      <c r="B46" s="4">
        <v>2.02</v>
      </c>
      <c r="C46" s="3"/>
      <c r="D46" s="3"/>
      <c r="E46" s="3"/>
      <c r="F46" s="3"/>
      <c r="G46" s="3"/>
      <c r="H46" s="3"/>
      <c r="I46" s="3"/>
      <c r="J46" s="3">
        <v>0.44</v>
      </c>
      <c r="K46" s="3">
        <v>2.7</v>
      </c>
      <c r="L46" s="3">
        <v>16.32</v>
      </c>
      <c r="M46" s="3">
        <v>15.45</v>
      </c>
      <c r="N46" s="3">
        <v>12.99</v>
      </c>
      <c r="O46" s="3">
        <v>10.45</v>
      </c>
    </row>
    <row r="47" spans="1:20" ht="14" customHeight="1">
      <c r="A47" s="3" t="s">
        <v>71</v>
      </c>
      <c r="B47" s="4">
        <v>951.79</v>
      </c>
      <c r="C47" s="3"/>
      <c r="D47" s="3"/>
      <c r="E47" s="3"/>
      <c r="F47" s="3"/>
      <c r="G47" s="3"/>
      <c r="H47" s="3"/>
      <c r="I47" s="3"/>
      <c r="J47" s="3">
        <v>564.54999999999995</v>
      </c>
      <c r="K47" s="3">
        <v>479.51</v>
      </c>
      <c r="L47" s="3">
        <v>362.94</v>
      </c>
      <c r="M47" s="3">
        <v>283.25</v>
      </c>
      <c r="N47" s="3">
        <v>203.45</v>
      </c>
      <c r="O47" s="3">
        <v>168.62</v>
      </c>
    </row>
    <row r="48" spans="1:20" ht="14" customHeight="1">
      <c r="A48" s="21" t="s">
        <v>72</v>
      </c>
      <c r="B48" s="4">
        <v>1011.49</v>
      </c>
      <c r="C48" s="3">
        <v>1110.6400000000001</v>
      </c>
      <c r="D48" s="3">
        <v>973.65</v>
      </c>
      <c r="E48" s="3">
        <v>911.14</v>
      </c>
      <c r="F48" s="3">
        <v>827.39</v>
      </c>
      <c r="G48" s="3">
        <v>893.86</v>
      </c>
      <c r="H48" s="3">
        <v>799.63</v>
      </c>
      <c r="I48" s="3">
        <v>730.18</v>
      </c>
      <c r="J48" s="3">
        <f t="shared" ref="J48:O48" si="14">SUM(J43:J47)</f>
        <v>613.55999999999995</v>
      </c>
      <c r="K48" s="3">
        <f t="shared" si="14"/>
        <v>533.26</v>
      </c>
      <c r="L48" s="3">
        <f t="shared" si="14"/>
        <v>426.74</v>
      </c>
      <c r="M48" s="3">
        <f t="shared" si="14"/>
        <v>330.78</v>
      </c>
      <c r="N48" s="3">
        <f t="shared" si="14"/>
        <v>242.54999999999998</v>
      </c>
      <c r="O48" s="3">
        <f t="shared" si="14"/>
        <v>205.02</v>
      </c>
    </row>
    <row r="49" spans="1:15" ht="12.5" customHeight="1">
      <c r="A49" s="21" t="s">
        <v>73</v>
      </c>
      <c r="B49" s="3">
        <f t="shared" ref="B49:O49" si="15">B42+B48</f>
        <v>6377.04</v>
      </c>
      <c r="C49" s="3">
        <f t="shared" si="15"/>
        <v>6300.43</v>
      </c>
      <c r="D49" s="3">
        <f t="shared" si="15"/>
        <v>6137.2499999999991</v>
      </c>
      <c r="E49" s="3">
        <f t="shared" si="15"/>
        <v>5671.5599999999995</v>
      </c>
      <c r="F49" s="3">
        <f t="shared" si="15"/>
        <v>5305.14</v>
      </c>
      <c r="G49" s="3">
        <f t="shared" si="15"/>
        <v>5050.32</v>
      </c>
      <c r="H49" s="3">
        <f t="shared" si="15"/>
        <v>4667.9399999999996</v>
      </c>
      <c r="I49" s="3">
        <f t="shared" si="15"/>
        <v>4327.4199999999992</v>
      </c>
      <c r="J49" s="3">
        <f t="shared" si="15"/>
        <v>3778.26</v>
      </c>
      <c r="K49" s="3">
        <f t="shared" si="15"/>
        <v>3480.75</v>
      </c>
      <c r="L49" s="3">
        <f t="shared" si="15"/>
        <v>3142.4799999999996</v>
      </c>
      <c r="M49" s="3">
        <f t="shared" si="15"/>
        <v>2742.83</v>
      </c>
      <c r="N49" s="3">
        <f t="shared" si="15"/>
        <v>2400.6600000000003</v>
      </c>
      <c r="O49" s="3">
        <f t="shared" si="15"/>
        <v>2371.2000000000003</v>
      </c>
    </row>
    <row r="50" spans="1:15" ht="14" customHeight="1">
      <c r="A50" s="3" t="s">
        <v>74</v>
      </c>
      <c r="B50" s="4">
        <v>12.54</v>
      </c>
      <c r="C50" s="3">
        <v>10.86</v>
      </c>
      <c r="D50" s="3">
        <v>11.79</v>
      </c>
      <c r="E50" s="3">
        <v>11.61</v>
      </c>
      <c r="F50" s="3">
        <v>11.1</v>
      </c>
      <c r="G50" s="3">
        <v>8.01</v>
      </c>
      <c r="H50" s="3">
        <v>10.76</v>
      </c>
      <c r="I50" s="3">
        <v>11.52</v>
      </c>
      <c r="J50" s="3">
        <v>13.7</v>
      </c>
      <c r="K50" s="3">
        <v>12.39</v>
      </c>
      <c r="L50" s="3">
        <v>20.29</v>
      </c>
      <c r="M50" s="3">
        <v>18.32</v>
      </c>
      <c r="N50" s="3">
        <v>19.600000000000001</v>
      </c>
    </row>
    <row r="51" spans="1:15" ht="14" customHeight="1">
      <c r="A51" s="21" t="s">
        <v>75</v>
      </c>
      <c r="B51" s="4">
        <v>35.21</v>
      </c>
      <c r="C51" s="3">
        <v>33.78</v>
      </c>
      <c r="D51" s="3">
        <v>33.32</v>
      </c>
      <c r="E51" s="3">
        <v>36.01</v>
      </c>
      <c r="F51" s="3">
        <v>29.45</v>
      </c>
      <c r="G51" s="3">
        <v>29.47</v>
      </c>
      <c r="H51" s="3">
        <v>29.52</v>
      </c>
      <c r="I51" s="3">
        <v>24.13</v>
      </c>
      <c r="J51" s="3">
        <v>22.81</v>
      </c>
      <c r="K51" s="3">
        <v>21.44</v>
      </c>
      <c r="L51" s="3">
        <v>20.440000000000001</v>
      </c>
      <c r="M51" s="3">
        <v>16.39</v>
      </c>
      <c r="N51" s="3">
        <v>15.43</v>
      </c>
    </row>
    <row r="52" spans="1:15" ht="14" customHeight="1">
      <c r="A52" s="3" t="s">
        <v>76</v>
      </c>
      <c r="B52" s="4">
        <v>1091.51</v>
      </c>
      <c r="C52" s="3">
        <v>1074.07</v>
      </c>
      <c r="D52" s="3">
        <v>1005.78</v>
      </c>
      <c r="E52" s="3">
        <v>955.22</v>
      </c>
      <c r="F52" s="3">
        <v>925.15</v>
      </c>
      <c r="G52" s="3">
        <v>916.56</v>
      </c>
      <c r="H52" s="3">
        <v>827.8</v>
      </c>
      <c r="I52" s="3">
        <v>787.08</v>
      </c>
      <c r="J52" s="3">
        <v>744.94</v>
      </c>
      <c r="K52" s="3">
        <v>749.97</v>
      </c>
      <c r="L52" s="3">
        <v>681</v>
      </c>
      <c r="M52" s="3">
        <v>601.15</v>
      </c>
      <c r="N52" s="3">
        <v>558.79</v>
      </c>
    </row>
    <row r="53" spans="1:15" ht="14" customHeight="1">
      <c r="A53" s="3" t="s">
        <v>77</v>
      </c>
      <c r="B53" s="4">
        <v>773.09</v>
      </c>
      <c r="C53" s="3">
        <v>801.36</v>
      </c>
      <c r="D53" s="3">
        <v>890.66</v>
      </c>
      <c r="E53" s="3">
        <v>768.38</v>
      </c>
      <c r="F53" s="3">
        <v>762.07</v>
      </c>
      <c r="G53" s="3">
        <v>691.42</v>
      </c>
      <c r="H53" s="3">
        <v>744.04</v>
      </c>
      <c r="I53" s="3">
        <v>687.35</v>
      </c>
      <c r="J53" s="3">
        <v>542.04</v>
      </c>
      <c r="K53" s="3">
        <v>553.51</v>
      </c>
      <c r="L53" s="3">
        <v>439.36</v>
      </c>
      <c r="M53" s="3">
        <v>308.89999999999998</v>
      </c>
      <c r="N53" s="3">
        <v>215.16</v>
      </c>
    </row>
    <row r="54" spans="1:15" ht="14" customHeight="1">
      <c r="A54" s="3" t="s">
        <v>78</v>
      </c>
      <c r="B54" s="4">
        <v>179.05</v>
      </c>
      <c r="C54" s="3">
        <v>177.08</v>
      </c>
      <c r="D54" s="3">
        <v>174.3</v>
      </c>
      <c r="E54" s="3">
        <v>171.37</v>
      </c>
      <c r="F54" s="3">
        <v>166.2</v>
      </c>
      <c r="G54" s="3">
        <v>164.61</v>
      </c>
      <c r="H54" s="3">
        <v>167.7</v>
      </c>
      <c r="I54" s="3">
        <v>179.59</v>
      </c>
      <c r="J54" s="3">
        <v>172.48</v>
      </c>
      <c r="K54" s="3">
        <v>168.79</v>
      </c>
      <c r="L54" s="3">
        <v>162.83000000000001</v>
      </c>
      <c r="M54" s="3">
        <v>161.30000000000001</v>
      </c>
      <c r="N54" s="3">
        <v>156.83000000000001</v>
      </c>
    </row>
    <row r="55" spans="1:15" ht="14" customHeight="1">
      <c r="A55" s="3" t="s">
        <v>79</v>
      </c>
      <c r="B55" s="4">
        <v>0</v>
      </c>
      <c r="C55" s="3">
        <v>0</v>
      </c>
      <c r="D55" s="3">
        <v>52.48</v>
      </c>
      <c r="E55" s="3">
        <v>52.88</v>
      </c>
      <c r="F55" s="3">
        <v>53.02</v>
      </c>
      <c r="G55" s="3">
        <v>53.1</v>
      </c>
      <c r="H55" s="3">
        <v>0</v>
      </c>
      <c r="I55" s="3">
        <v>0</v>
      </c>
      <c r="J55" s="3">
        <v>0.74</v>
      </c>
      <c r="K55" s="3">
        <v>6.48</v>
      </c>
      <c r="L55" s="3">
        <v>143.51</v>
      </c>
      <c r="M55" s="3">
        <v>144.30000000000001</v>
      </c>
      <c r="N55" s="3">
        <v>137.1</v>
      </c>
    </row>
    <row r="56" spans="1:15" ht="14" customHeight="1">
      <c r="A56" s="3" t="s">
        <v>80</v>
      </c>
      <c r="B56" s="4">
        <v>25.02</v>
      </c>
      <c r="C56" s="3">
        <v>24.99</v>
      </c>
      <c r="D56" s="3">
        <v>23.86</v>
      </c>
      <c r="E56" s="3">
        <v>24.16</v>
      </c>
      <c r="F56" s="3">
        <v>23.25</v>
      </c>
      <c r="G56" s="3">
        <v>21.06</v>
      </c>
      <c r="H56" s="3">
        <v>20.149999999999999</v>
      </c>
      <c r="I56" s="3">
        <v>18.66</v>
      </c>
      <c r="J56" s="3">
        <v>17.27</v>
      </c>
      <c r="K56" s="3">
        <v>16.41</v>
      </c>
      <c r="L56" s="3">
        <v>13.81</v>
      </c>
      <c r="M56" s="3">
        <v>9.5500000000000007</v>
      </c>
      <c r="N56" s="3">
        <v>7.29</v>
      </c>
    </row>
    <row r="57" spans="1:15" ht="12.5" customHeight="1">
      <c r="A57" s="21" t="s">
        <v>81</v>
      </c>
      <c r="B57" s="3">
        <f t="shared" ref="B57:N57" si="16">SUM(B50:B56)</f>
        <v>2116.42</v>
      </c>
      <c r="C57" s="3">
        <f t="shared" si="16"/>
        <v>2122.14</v>
      </c>
      <c r="D57" s="3">
        <f t="shared" si="16"/>
        <v>2192.19</v>
      </c>
      <c r="E57" s="3">
        <f t="shared" si="16"/>
        <v>2019.6300000000003</v>
      </c>
      <c r="F57" s="3">
        <f t="shared" si="16"/>
        <v>1970.24</v>
      </c>
      <c r="G57" s="3">
        <f t="shared" si="16"/>
        <v>1884.23</v>
      </c>
      <c r="H57" s="3">
        <f t="shared" si="16"/>
        <v>1799.97</v>
      </c>
      <c r="I57" s="3">
        <f t="shared" si="16"/>
        <v>1708.33</v>
      </c>
      <c r="J57" s="3">
        <f t="shared" si="16"/>
        <v>1513.98</v>
      </c>
      <c r="K57" s="3">
        <f t="shared" si="16"/>
        <v>1528.99</v>
      </c>
      <c r="L57" s="3">
        <f t="shared" si="16"/>
        <v>1481.24</v>
      </c>
      <c r="M57" s="3">
        <f t="shared" si="16"/>
        <v>1259.9099999999999</v>
      </c>
      <c r="N57" s="3">
        <f t="shared" si="16"/>
        <v>1110.1999999999998</v>
      </c>
    </row>
    <row r="58" spans="1:15" ht="14" customHeight="1">
      <c r="A58" s="21" t="s">
        <v>82</v>
      </c>
      <c r="B58" s="4">
        <v>26.35</v>
      </c>
      <c r="C58" s="3">
        <v>29.22</v>
      </c>
      <c r="D58" s="3">
        <v>31.03</v>
      </c>
      <c r="E58" s="3">
        <v>33.299999999999997</v>
      </c>
      <c r="F58" s="3">
        <v>37.869999999999997</v>
      </c>
      <c r="G58" s="3">
        <v>32.979999999999997</v>
      </c>
      <c r="H58" s="3">
        <v>82.92</v>
      </c>
      <c r="I58" s="3">
        <v>79.33</v>
      </c>
      <c r="J58" s="3">
        <v>77.22</v>
      </c>
      <c r="K58" s="3">
        <v>79.349999999999994</v>
      </c>
      <c r="L58" s="3">
        <v>40.770000000000003</v>
      </c>
      <c r="M58" s="3">
        <v>29.47</v>
      </c>
    </row>
    <row r="59" spans="1:15" ht="12.5" customHeight="1">
      <c r="A59" s="21" t="s">
        <v>83</v>
      </c>
      <c r="B59" s="3">
        <f t="shared" ref="B59:M59" si="17">B57+B58</f>
        <v>2142.77</v>
      </c>
      <c r="C59" s="3">
        <f t="shared" si="17"/>
        <v>2151.3599999999997</v>
      </c>
      <c r="D59" s="3">
        <f t="shared" si="17"/>
        <v>2223.2200000000003</v>
      </c>
      <c r="E59" s="3">
        <f t="shared" si="17"/>
        <v>2052.9300000000003</v>
      </c>
      <c r="F59" s="3">
        <f t="shared" si="17"/>
        <v>2008.11</v>
      </c>
      <c r="G59" s="3">
        <f t="shared" si="17"/>
        <v>1917.21</v>
      </c>
      <c r="H59" s="3">
        <f t="shared" si="17"/>
        <v>1882.89</v>
      </c>
      <c r="I59" s="3">
        <f t="shared" si="17"/>
        <v>1787.6599999999999</v>
      </c>
      <c r="J59" s="3">
        <f t="shared" si="17"/>
        <v>1591.2</v>
      </c>
      <c r="K59" s="3">
        <f t="shared" si="17"/>
        <v>1608.34</v>
      </c>
      <c r="L59" s="3">
        <f t="shared" si="17"/>
        <v>1522.01</v>
      </c>
      <c r="M59" s="3">
        <f t="shared" si="17"/>
        <v>1289.3799999999999</v>
      </c>
    </row>
    <row r="60" spans="1:15" ht="14" customHeight="1">
      <c r="A60" s="21" t="s">
        <v>84</v>
      </c>
      <c r="B60" s="4">
        <v>4234.2700000000004</v>
      </c>
      <c r="C60" s="3">
        <f t="shared" ref="C60:M60" si="18">C49-C59</f>
        <v>4149.0700000000006</v>
      </c>
      <c r="D60" s="3">
        <f t="shared" si="18"/>
        <v>3914.0299999999988</v>
      </c>
      <c r="E60" s="3">
        <f t="shared" si="18"/>
        <v>3618.6299999999992</v>
      </c>
      <c r="F60" s="3">
        <f t="shared" si="18"/>
        <v>3297.0300000000007</v>
      </c>
      <c r="G60" s="3">
        <f t="shared" si="18"/>
        <v>3133.1099999999997</v>
      </c>
      <c r="H60" s="3">
        <f t="shared" si="18"/>
        <v>2785.0499999999993</v>
      </c>
      <c r="I60" s="3">
        <f t="shared" si="18"/>
        <v>2539.7599999999993</v>
      </c>
      <c r="J60" s="3">
        <f t="shared" si="18"/>
        <v>2187.0600000000004</v>
      </c>
      <c r="K60" s="3">
        <f t="shared" si="18"/>
        <v>1872.41</v>
      </c>
      <c r="L60" s="3">
        <f t="shared" si="18"/>
        <v>1620.4699999999996</v>
      </c>
      <c r="M60" s="3">
        <f t="shared" si="18"/>
        <v>1453.45</v>
      </c>
    </row>
  </sheetData>
  <phoneticPr fontId="7"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20"/>
  <sheetViews>
    <sheetView tabSelected="1" topLeftCell="A71" workbookViewId="0">
      <selection activeCell="B105" sqref="B105"/>
    </sheetView>
  </sheetViews>
  <sheetFormatPr defaultColWidth="12.6328125" defaultRowHeight="15.75" customHeight="1"/>
  <cols>
    <col min="1" max="1" width="27.36328125" customWidth="1"/>
    <col min="2" max="2" width="22.6328125" customWidth="1"/>
  </cols>
  <sheetData>
    <row r="1" spans="1:29" ht="15.75" customHeight="1">
      <c r="A1" s="12" t="s">
        <v>85</v>
      </c>
      <c r="B1" s="22" t="s">
        <v>86</v>
      </c>
      <c r="C1" s="12" t="s">
        <v>1</v>
      </c>
      <c r="D1" s="12" t="s">
        <v>2</v>
      </c>
      <c r="E1" s="12" t="s">
        <v>3</v>
      </c>
      <c r="F1" s="12" t="s">
        <v>4</v>
      </c>
      <c r="G1" s="12"/>
      <c r="H1" s="12"/>
      <c r="I1" s="12"/>
      <c r="J1" s="12"/>
      <c r="K1" s="12"/>
      <c r="L1" s="12"/>
      <c r="M1" s="12"/>
      <c r="N1" s="12"/>
      <c r="O1" s="12"/>
      <c r="P1" s="12"/>
      <c r="Q1" s="12"/>
      <c r="R1" s="12"/>
      <c r="S1" s="12"/>
      <c r="T1" s="12"/>
      <c r="U1" s="12"/>
      <c r="V1" s="12"/>
      <c r="W1" s="12"/>
      <c r="X1" s="12"/>
      <c r="Y1" s="12"/>
      <c r="Z1" s="12"/>
      <c r="AA1" s="12"/>
      <c r="AB1" s="12"/>
      <c r="AC1" s="12"/>
    </row>
    <row r="2" spans="1:29" ht="15.75" customHeight="1">
      <c r="A2" s="12" t="s">
        <v>87</v>
      </c>
      <c r="B2" s="22" t="s">
        <v>88</v>
      </c>
      <c r="C2" s="5">
        <v>45.03</v>
      </c>
      <c r="D2" s="5">
        <v>43.36</v>
      </c>
      <c r="E2" s="5">
        <v>37.79</v>
      </c>
      <c r="F2" s="5">
        <v>33.119999999999997</v>
      </c>
    </row>
    <row r="3" spans="1:29" ht="15" customHeight="1">
      <c r="A3" s="13" t="s">
        <v>89</v>
      </c>
      <c r="B3" s="22" t="s">
        <v>90</v>
      </c>
      <c r="C3" s="12">
        <v>12.42</v>
      </c>
      <c r="D3" s="12">
        <v>11.32</v>
      </c>
      <c r="E3" s="12">
        <v>9.9</v>
      </c>
      <c r="F3" s="12">
        <v>8.83</v>
      </c>
    </row>
    <row r="4" spans="1:29" ht="15" customHeight="1">
      <c r="A4" s="13" t="s">
        <v>91</v>
      </c>
      <c r="B4" s="22" t="s">
        <v>92</v>
      </c>
      <c r="C4" s="12">
        <v>6.97</v>
      </c>
      <c r="D4" s="12">
        <v>7.01</v>
      </c>
      <c r="E4" s="12">
        <v>6.53</v>
      </c>
      <c r="F4" s="14">
        <v>5.59</v>
      </c>
    </row>
    <row r="5" spans="1:29" ht="15.75" customHeight="1">
      <c r="A5" s="12" t="s">
        <v>93</v>
      </c>
      <c r="B5" s="22" t="s">
        <v>94</v>
      </c>
      <c r="C5" s="12">
        <v>0.44</v>
      </c>
      <c r="D5" s="12">
        <v>0.42</v>
      </c>
      <c r="E5" s="12">
        <v>0.46</v>
      </c>
      <c r="F5" s="12">
        <v>0.45</v>
      </c>
    </row>
    <row r="6" spans="1:29" ht="15.75" customHeight="1">
      <c r="A6" s="12" t="s">
        <v>95</v>
      </c>
      <c r="B6" s="22" t="s">
        <v>96</v>
      </c>
      <c r="C6" s="12">
        <v>6.12</v>
      </c>
      <c r="D6" s="12">
        <v>6.41</v>
      </c>
      <c r="E6" s="12">
        <v>5.18</v>
      </c>
      <c r="F6" s="12">
        <v>4.6100000000000003</v>
      </c>
    </row>
    <row r="7" spans="1:29" ht="14.5" customHeight="1">
      <c r="A7" s="15" t="s">
        <v>97</v>
      </c>
      <c r="B7" s="23" t="s">
        <v>98</v>
      </c>
      <c r="C7" s="12">
        <f>SUM(C2:C6)</f>
        <v>70.98</v>
      </c>
      <c r="D7" s="12">
        <f>SUM(D2:D6)</f>
        <v>68.52</v>
      </c>
      <c r="E7" s="12">
        <f>SUM(E2:E6)</f>
        <v>59.86</v>
      </c>
      <c r="F7" s="12">
        <f>SUM(F2:F6)</f>
        <v>52.599999999999994</v>
      </c>
    </row>
    <row r="8" spans="1:29" ht="15.75" customHeight="1">
      <c r="A8" s="12" t="s">
        <v>99</v>
      </c>
      <c r="B8" s="22" t="s">
        <v>100</v>
      </c>
      <c r="C8" s="12">
        <v>29.93</v>
      </c>
      <c r="D8" s="12">
        <v>29.13</v>
      </c>
      <c r="E8" s="12">
        <v>25.35</v>
      </c>
      <c r="F8" s="12">
        <v>21.2</v>
      </c>
    </row>
    <row r="9" spans="1:29" ht="15" customHeight="1">
      <c r="A9" s="12" t="s">
        <v>101</v>
      </c>
      <c r="B9" s="22" t="s">
        <v>102</v>
      </c>
      <c r="C9" s="12">
        <v>1.43</v>
      </c>
      <c r="D9" s="12">
        <v>1.27</v>
      </c>
      <c r="E9" s="12">
        <v>1.26</v>
      </c>
      <c r="F9" s="14">
        <v>1.1599999999999999</v>
      </c>
    </row>
    <row r="10" spans="1:29" ht="15.75" customHeight="1">
      <c r="A10" s="12" t="s">
        <v>103</v>
      </c>
      <c r="B10" s="22" t="s">
        <v>104</v>
      </c>
      <c r="C10" s="12">
        <v>2.16</v>
      </c>
      <c r="D10" s="12">
        <v>2.14</v>
      </c>
      <c r="E10" s="12">
        <v>2.2400000000000002</v>
      </c>
      <c r="F10" s="12">
        <v>1.72</v>
      </c>
    </row>
    <row r="11" spans="1:29" ht="15.75" customHeight="1">
      <c r="A11" s="12" t="s">
        <v>105</v>
      </c>
      <c r="B11" s="22" t="s">
        <v>106</v>
      </c>
      <c r="C11" s="12">
        <v>0.13</v>
      </c>
      <c r="D11" s="12">
        <v>0.14000000000000001</v>
      </c>
      <c r="E11" s="12">
        <v>0.09</v>
      </c>
      <c r="F11" s="12">
        <v>0.1</v>
      </c>
    </row>
    <row r="12" spans="1:29" ht="15.75" customHeight="1">
      <c r="A12" s="12" t="s">
        <v>107</v>
      </c>
      <c r="B12" s="22" t="s">
        <v>108</v>
      </c>
      <c r="C12" s="12">
        <v>5.87</v>
      </c>
      <c r="D12" s="12">
        <v>5.85</v>
      </c>
      <c r="E12" s="12">
        <v>4.92</v>
      </c>
      <c r="F12" s="12">
        <v>4.32</v>
      </c>
    </row>
    <row r="13" spans="1:29" ht="14.5" customHeight="1">
      <c r="A13" s="15" t="s">
        <v>109</v>
      </c>
      <c r="B13" s="23" t="s">
        <v>110</v>
      </c>
      <c r="C13" s="12">
        <f>SUM(C8:C12)</f>
        <v>39.519999999999996</v>
      </c>
      <c r="D13" s="12">
        <f>SUM(D8:D12)</f>
        <v>38.53</v>
      </c>
      <c r="E13" s="12">
        <f>SUM(E8:E12)</f>
        <v>33.86</v>
      </c>
      <c r="F13" s="12">
        <f>SUM(F8:F12)</f>
        <v>28.5</v>
      </c>
    </row>
    <row r="14" spans="1:29" ht="15.75" customHeight="1">
      <c r="A14" s="12" t="s">
        <v>111</v>
      </c>
      <c r="B14" s="22" t="s">
        <v>112</v>
      </c>
      <c r="C14" s="12">
        <f t="shared" ref="C14:F19" si="0">C2-C8</f>
        <v>15.100000000000001</v>
      </c>
      <c r="D14" s="12">
        <f t="shared" si="0"/>
        <v>14.23</v>
      </c>
      <c r="E14" s="12">
        <f t="shared" si="0"/>
        <v>12.439999999999998</v>
      </c>
      <c r="F14" s="12">
        <f t="shared" si="0"/>
        <v>11.919999999999998</v>
      </c>
    </row>
    <row r="15" spans="1:29" ht="15.75" customHeight="1">
      <c r="A15" s="12" t="s">
        <v>113</v>
      </c>
      <c r="B15" s="22" t="s">
        <v>114</v>
      </c>
      <c r="C15" s="12">
        <f t="shared" si="0"/>
        <v>10.99</v>
      </c>
      <c r="D15" s="12">
        <f t="shared" si="0"/>
        <v>10.050000000000001</v>
      </c>
      <c r="E15" s="12">
        <f t="shared" si="0"/>
        <v>8.64</v>
      </c>
      <c r="F15" s="12">
        <f t="shared" si="0"/>
        <v>7.67</v>
      </c>
    </row>
    <row r="16" spans="1:29" ht="15.75" customHeight="1">
      <c r="A16" s="12" t="s">
        <v>115</v>
      </c>
      <c r="B16" s="22" t="s">
        <v>116</v>
      </c>
      <c r="C16" s="12">
        <f t="shared" si="0"/>
        <v>4.8099999999999996</v>
      </c>
      <c r="D16" s="12">
        <f t="shared" si="0"/>
        <v>4.8699999999999992</v>
      </c>
      <c r="E16" s="12">
        <f t="shared" si="0"/>
        <v>4.29</v>
      </c>
      <c r="F16" s="12">
        <f t="shared" si="0"/>
        <v>3.87</v>
      </c>
    </row>
    <row r="17" spans="1:7" ht="15.75" customHeight="1">
      <c r="A17" s="12" t="s">
        <v>117</v>
      </c>
      <c r="B17" s="22" t="s">
        <v>118</v>
      </c>
      <c r="C17" s="12">
        <f t="shared" si="0"/>
        <v>0.31</v>
      </c>
      <c r="D17" s="12">
        <f t="shared" si="0"/>
        <v>0.27999999999999997</v>
      </c>
      <c r="E17" s="12">
        <f t="shared" si="0"/>
        <v>0.37</v>
      </c>
      <c r="F17" s="12">
        <f t="shared" si="0"/>
        <v>0.35</v>
      </c>
    </row>
    <row r="18" spans="1:7" ht="15.75" customHeight="1">
      <c r="A18" s="12" t="s">
        <v>119</v>
      </c>
      <c r="B18" s="22" t="s">
        <v>120</v>
      </c>
      <c r="C18" s="12">
        <f t="shared" si="0"/>
        <v>0.25</v>
      </c>
      <c r="D18" s="12">
        <f t="shared" si="0"/>
        <v>0.5600000000000005</v>
      </c>
      <c r="E18" s="12">
        <f t="shared" si="0"/>
        <v>0.25999999999999979</v>
      </c>
      <c r="F18" s="12">
        <f t="shared" si="0"/>
        <v>0.29000000000000004</v>
      </c>
    </row>
    <row r="19" spans="1:7" ht="14.5" customHeight="1">
      <c r="A19" s="15" t="s">
        <v>121</v>
      </c>
      <c r="B19" s="23" t="s">
        <v>122</v>
      </c>
      <c r="C19" s="12">
        <f t="shared" si="0"/>
        <v>31.460000000000008</v>
      </c>
      <c r="D19" s="12">
        <f t="shared" si="0"/>
        <v>29.989999999999995</v>
      </c>
      <c r="E19" s="12">
        <f t="shared" si="0"/>
        <v>26</v>
      </c>
      <c r="F19" s="12">
        <f t="shared" si="0"/>
        <v>24.099999999999994</v>
      </c>
    </row>
    <row r="20" spans="1:7" ht="15.75" customHeight="1">
      <c r="A20" s="12" t="s">
        <v>123</v>
      </c>
      <c r="B20" s="22" t="s">
        <v>124</v>
      </c>
      <c r="C20" s="16">
        <f t="shared" ref="C20:F25" si="1">C14/C2</f>
        <v>0.33533200088829673</v>
      </c>
      <c r="D20" s="16">
        <f t="shared" si="1"/>
        <v>0.32818265682656828</v>
      </c>
      <c r="E20" s="16">
        <f t="shared" si="1"/>
        <v>0.32918761577136801</v>
      </c>
      <c r="F20" s="16">
        <f t="shared" si="1"/>
        <v>0.35990338164251207</v>
      </c>
      <c r="G20" s="9"/>
    </row>
    <row r="21" spans="1:7" ht="15.75" customHeight="1">
      <c r="A21" s="12" t="s">
        <v>125</v>
      </c>
      <c r="B21" s="22" t="s">
        <v>126</v>
      </c>
      <c r="C21" s="16">
        <f t="shared" si="1"/>
        <v>0.88486312399355882</v>
      </c>
      <c r="D21" s="16">
        <f t="shared" si="1"/>
        <v>0.88780918727915203</v>
      </c>
      <c r="E21" s="16">
        <f t="shared" si="1"/>
        <v>0.8727272727272728</v>
      </c>
      <c r="F21" s="16">
        <f t="shared" si="1"/>
        <v>0.86862967157417892</v>
      </c>
      <c r="G21" s="9"/>
    </row>
    <row r="22" spans="1:7" ht="15.75" customHeight="1">
      <c r="A22" s="12" t="s">
        <v>127</v>
      </c>
      <c r="B22" s="22" t="s">
        <v>128</v>
      </c>
      <c r="C22" s="16">
        <f t="shared" si="1"/>
        <v>0.69010043041606883</v>
      </c>
      <c r="D22" s="16">
        <f t="shared" si="1"/>
        <v>0.69472182596290999</v>
      </c>
      <c r="E22" s="16">
        <f t="shared" si="1"/>
        <v>0.65696784073506886</v>
      </c>
      <c r="F22" s="16">
        <f t="shared" si="1"/>
        <v>0.69230769230769229</v>
      </c>
      <c r="G22" s="9"/>
    </row>
    <row r="23" spans="1:7" ht="15.75" customHeight="1">
      <c r="A23" s="12" t="s">
        <v>129</v>
      </c>
      <c r="B23" s="22" t="s">
        <v>130</v>
      </c>
      <c r="C23" s="16">
        <f t="shared" si="1"/>
        <v>0.70454545454545459</v>
      </c>
      <c r="D23" s="16">
        <f t="shared" si="1"/>
        <v>0.66666666666666663</v>
      </c>
      <c r="E23" s="16">
        <f t="shared" si="1"/>
        <v>0.80434782608695643</v>
      </c>
      <c r="F23" s="16">
        <f t="shared" si="1"/>
        <v>0.77777777777777768</v>
      </c>
      <c r="G23" s="9"/>
    </row>
    <row r="24" spans="1:7" ht="15.75" customHeight="1">
      <c r="A24" s="12" t="s">
        <v>131</v>
      </c>
      <c r="B24" s="22" t="s">
        <v>132</v>
      </c>
      <c r="C24" s="16">
        <f t="shared" si="1"/>
        <v>4.084967320261438E-2</v>
      </c>
      <c r="D24" s="16">
        <f t="shared" si="1"/>
        <v>8.7363494539781664E-2</v>
      </c>
      <c r="E24" s="16">
        <f t="shared" si="1"/>
        <v>5.0193050193050155E-2</v>
      </c>
      <c r="F24" s="16">
        <f t="shared" si="1"/>
        <v>6.2906724511930592E-2</v>
      </c>
      <c r="G24" s="9"/>
    </row>
    <row r="25" spans="1:7" ht="14.5" customHeight="1">
      <c r="A25" s="15" t="s">
        <v>133</v>
      </c>
      <c r="B25" s="23" t="s">
        <v>134</v>
      </c>
      <c r="C25" s="16">
        <f t="shared" si="1"/>
        <v>0.44322344322344331</v>
      </c>
      <c r="D25" s="16">
        <f t="shared" si="1"/>
        <v>0.43768242848803263</v>
      </c>
      <c r="E25" s="16">
        <f t="shared" si="1"/>
        <v>0.43434680922151686</v>
      </c>
      <c r="F25" s="16">
        <f t="shared" si="1"/>
        <v>0.4581749049429657</v>
      </c>
      <c r="G25" s="9"/>
    </row>
    <row r="26" spans="1:7" ht="15.75" customHeight="1">
      <c r="A26" s="12" t="s">
        <v>135</v>
      </c>
      <c r="B26" s="22" t="s">
        <v>136</v>
      </c>
      <c r="C26" s="12">
        <v>0.28000000000000003</v>
      </c>
      <c r="D26" s="12">
        <v>0.28000000000000003</v>
      </c>
      <c r="E26" s="12">
        <v>0.27</v>
      </c>
      <c r="F26" s="12">
        <v>0.32</v>
      </c>
    </row>
    <row r="27" spans="1:7" ht="15.75" customHeight="1">
      <c r="A27" s="12" t="s">
        <v>137</v>
      </c>
      <c r="B27" s="22" t="s">
        <v>138</v>
      </c>
      <c r="C27" s="12">
        <v>10.92</v>
      </c>
      <c r="D27" s="12">
        <v>10.71</v>
      </c>
      <c r="E27" s="12">
        <v>8.9499999999999993</v>
      </c>
      <c r="F27" s="12">
        <v>8.0299999999999994</v>
      </c>
    </row>
    <row r="28" spans="1:7" ht="15" customHeight="1">
      <c r="A28" s="12" t="s">
        <v>139</v>
      </c>
      <c r="B28" s="22" t="s">
        <v>140</v>
      </c>
      <c r="C28" s="12">
        <v>2.3199999999999998</v>
      </c>
      <c r="D28" s="12">
        <v>2.37</v>
      </c>
      <c r="E28" s="12">
        <v>1.58</v>
      </c>
      <c r="F28" s="14">
        <v>1.23</v>
      </c>
    </row>
    <row r="29" spans="1:7" ht="15.75" customHeight="1">
      <c r="A29" s="12" t="s">
        <v>141</v>
      </c>
      <c r="B29" s="22" t="s">
        <v>142</v>
      </c>
      <c r="C29" s="12">
        <v>0.45</v>
      </c>
      <c r="D29" s="12">
        <v>0.51</v>
      </c>
      <c r="E29" s="12">
        <v>0.51</v>
      </c>
      <c r="F29" s="12">
        <v>0.43</v>
      </c>
    </row>
    <row r="30" spans="1:7" ht="15.75" customHeight="1">
      <c r="A30" s="12" t="s">
        <v>143</v>
      </c>
      <c r="B30" s="22" t="s">
        <v>144</v>
      </c>
      <c r="C30" s="12">
        <v>0.46</v>
      </c>
      <c r="D30" s="12">
        <v>0.43</v>
      </c>
      <c r="E30" s="12">
        <v>0.46</v>
      </c>
      <c r="F30" s="12">
        <v>0.4</v>
      </c>
    </row>
    <row r="31" spans="1:7" ht="14.5" customHeight="1">
      <c r="A31" s="15" t="s">
        <v>145</v>
      </c>
      <c r="B31" s="23" t="s">
        <v>146</v>
      </c>
      <c r="C31" s="12">
        <f>SUM(C27:C30)</f>
        <v>14.15</v>
      </c>
      <c r="D31" s="12">
        <f>SUM(D27:D30)</f>
        <v>14.020000000000001</v>
      </c>
      <c r="E31" s="12">
        <f>SUM(E27:E30)</f>
        <v>11.5</v>
      </c>
      <c r="F31" s="12">
        <f>SUM(F27:F30)</f>
        <v>10.09</v>
      </c>
    </row>
    <row r="32" spans="1:7" ht="15.75" customHeight="1">
      <c r="A32" s="12" t="s">
        <v>26</v>
      </c>
      <c r="B32" s="22" t="s">
        <v>147</v>
      </c>
      <c r="C32" s="12">
        <v>4.04</v>
      </c>
      <c r="D32" s="12">
        <v>3.87</v>
      </c>
      <c r="E32" s="12">
        <v>3.4</v>
      </c>
      <c r="F32" s="12">
        <v>3.23</v>
      </c>
    </row>
    <row r="33" spans="1:10" ht="12.5" customHeight="1">
      <c r="A33" s="12" t="s">
        <v>148</v>
      </c>
      <c r="B33" s="22" t="s">
        <v>149</v>
      </c>
      <c r="C33" s="12">
        <v>4.66</v>
      </c>
      <c r="D33" s="12">
        <v>3.93</v>
      </c>
      <c r="E33" s="12">
        <v>3.74</v>
      </c>
      <c r="F33" s="12">
        <v>3.24</v>
      </c>
    </row>
    <row r="34" spans="1:10" ht="12.5" customHeight="1">
      <c r="A34" s="12" t="s">
        <v>27</v>
      </c>
      <c r="B34" s="22" t="s">
        <v>150</v>
      </c>
      <c r="C34" s="12">
        <v>2.97</v>
      </c>
      <c r="D34" s="12">
        <v>2.78</v>
      </c>
      <c r="E34" s="12">
        <v>2.86</v>
      </c>
      <c r="F34" s="12">
        <v>2.97</v>
      </c>
    </row>
    <row r="35" spans="1:10" ht="12.5" customHeight="1">
      <c r="A35" s="12"/>
      <c r="B35" s="22" t="s">
        <v>151</v>
      </c>
      <c r="C35" s="12">
        <f>C31+C32+C33+C34-C26</f>
        <v>25.54</v>
      </c>
      <c r="D35" s="12">
        <f>D31+D32+D33+D34-D26</f>
        <v>24.32</v>
      </c>
      <c r="E35" s="12">
        <f>E31+E32+E33+E34-E26</f>
        <v>21.23</v>
      </c>
      <c r="F35" s="12">
        <f>F31+F32+F33+F34-F26</f>
        <v>19.21</v>
      </c>
    </row>
    <row r="36" spans="1:10" ht="12.5" customHeight="1">
      <c r="A36" s="12"/>
      <c r="B36" s="22" t="s">
        <v>152</v>
      </c>
      <c r="C36" s="16">
        <f>C34/C7</f>
        <v>4.1842772612003379E-2</v>
      </c>
      <c r="D36" s="16">
        <f>D34/D7</f>
        <v>4.0572095738470516E-2</v>
      </c>
      <c r="E36" s="16">
        <f>E34/E7</f>
        <v>4.7778149014366854E-2</v>
      </c>
      <c r="F36" s="16">
        <f>F34/F7</f>
        <v>5.646387832699621E-2</v>
      </c>
    </row>
    <row r="37" spans="1:10" ht="12.5" customHeight="1">
      <c r="A37" s="12"/>
      <c r="B37" s="22" t="s">
        <v>153</v>
      </c>
      <c r="C37" s="9">
        <f>C31/C7</f>
        <v>0.1993519301211609</v>
      </c>
      <c r="D37" s="9">
        <f>D31/D7</f>
        <v>0.20461179217746647</v>
      </c>
      <c r="E37" s="9">
        <f>E31/E7</f>
        <v>0.19211493484797862</v>
      </c>
      <c r="F37" s="9">
        <f>F31/F7</f>
        <v>0.19182509505703424</v>
      </c>
    </row>
    <row r="38" spans="1:10" ht="12.5" customHeight="1">
      <c r="A38" s="12"/>
      <c r="B38" s="22" t="s">
        <v>154</v>
      </c>
      <c r="C38" s="16">
        <f>C35/C7</f>
        <v>0.35981966751197519</v>
      </c>
      <c r="D38" s="16">
        <f>D35/D7</f>
        <v>0.35493286631640397</v>
      </c>
      <c r="E38" s="16">
        <f>E35/E7</f>
        <v>0.35466087537587704</v>
      </c>
      <c r="F38" s="16">
        <f>F35/F7</f>
        <v>0.36520912547528522</v>
      </c>
    </row>
    <row r="39" spans="1:10" ht="12.5" customHeight="1">
      <c r="A39" s="12" t="s">
        <v>155</v>
      </c>
      <c r="B39" s="22" t="s">
        <v>156</v>
      </c>
      <c r="C39" s="12">
        <v>1.39</v>
      </c>
      <c r="D39" s="12">
        <v>1.21</v>
      </c>
      <c r="E39" s="12">
        <v>1.1000000000000001</v>
      </c>
      <c r="F39" s="12">
        <v>1.55</v>
      </c>
    </row>
    <row r="40" spans="1:10" ht="12.5" customHeight="1">
      <c r="A40" s="12" t="s">
        <v>157</v>
      </c>
      <c r="B40" s="22" t="s">
        <v>158</v>
      </c>
      <c r="C40" s="12">
        <v>2.66</v>
      </c>
      <c r="D40" s="12">
        <v>2.5299999999999998</v>
      </c>
      <c r="E40" s="12">
        <v>2.48</v>
      </c>
      <c r="F40" s="12">
        <v>2.4300000000000002</v>
      </c>
    </row>
    <row r="41" spans="1:10" ht="12.5" customHeight="1">
      <c r="A41" s="12" t="s">
        <v>159</v>
      </c>
      <c r="B41" s="22" t="s">
        <v>160</v>
      </c>
      <c r="C41" s="12">
        <v>3.64</v>
      </c>
      <c r="D41" s="12">
        <v>3.79</v>
      </c>
      <c r="E41" s="12">
        <v>3.1</v>
      </c>
      <c r="F41" s="12">
        <v>2.75</v>
      </c>
    </row>
    <row r="42" spans="1:10" ht="12.5" customHeight="1">
      <c r="A42" s="12" t="s">
        <v>161</v>
      </c>
      <c r="B42" s="22" t="s">
        <v>162</v>
      </c>
      <c r="C42" s="12">
        <v>-0.32</v>
      </c>
      <c r="D42" s="12">
        <v>-0.37</v>
      </c>
      <c r="E42" s="12">
        <v>-0.27</v>
      </c>
      <c r="F42" s="12">
        <v>-0.16</v>
      </c>
    </row>
    <row r="43" spans="1:10" ht="12.5" customHeight="1">
      <c r="A43" s="12" t="s">
        <v>163</v>
      </c>
      <c r="B43" s="22" t="s">
        <v>164</v>
      </c>
      <c r="C43" s="12">
        <v>-1.43</v>
      </c>
      <c r="D43" s="12">
        <v>-1.51</v>
      </c>
      <c r="E43" s="12">
        <v>-1.65</v>
      </c>
      <c r="F43" s="12">
        <v>-1.7</v>
      </c>
    </row>
    <row r="44" spans="1:10" ht="13" customHeight="1">
      <c r="A44" s="15" t="s">
        <v>165</v>
      </c>
      <c r="B44" s="23" t="s">
        <v>29</v>
      </c>
      <c r="C44" s="12">
        <f>C19-C35</f>
        <v>5.9200000000000088</v>
      </c>
      <c r="D44" s="12">
        <f>D19-D35</f>
        <v>5.6699999999999946</v>
      </c>
      <c r="E44" s="12">
        <f>E19-E35</f>
        <v>4.7699999999999996</v>
      </c>
      <c r="F44" s="12">
        <f>F19-F35</f>
        <v>4.8899999999999935</v>
      </c>
      <c r="J44" s="25" t="s">
        <v>435</v>
      </c>
    </row>
    <row r="45" spans="1:10" ht="12.5" customHeight="1">
      <c r="A45" s="12" t="s">
        <v>166</v>
      </c>
      <c r="B45" s="22" t="s">
        <v>167</v>
      </c>
      <c r="C45" s="12">
        <v>0.62</v>
      </c>
      <c r="D45" s="12">
        <v>0.62</v>
      </c>
      <c r="E45" s="12">
        <v>0.61</v>
      </c>
      <c r="F45" s="12">
        <v>0.83</v>
      </c>
      <c r="H45" s="23" t="s">
        <v>168</v>
      </c>
      <c r="I45">
        <f>SUM(C44:F44)</f>
        <v>21.249999999999996</v>
      </c>
    </row>
    <row r="46" spans="1:10" ht="12.5" customHeight="1">
      <c r="A46" s="12" t="s">
        <v>169</v>
      </c>
      <c r="B46" s="22" t="s">
        <v>170</v>
      </c>
      <c r="C46" s="12">
        <v>-2.14</v>
      </c>
      <c r="D46" s="12">
        <v>-2.1</v>
      </c>
      <c r="E46" s="12">
        <v>-1.61</v>
      </c>
      <c r="F46" s="12">
        <v>-1.44</v>
      </c>
      <c r="H46" s="25" t="s">
        <v>171</v>
      </c>
      <c r="I46">
        <f>SUM(C48:F48)</f>
        <v>16.399999999999995</v>
      </c>
    </row>
    <row r="47" spans="1:10" ht="12.5" customHeight="1">
      <c r="A47" s="12" t="s">
        <v>36</v>
      </c>
      <c r="B47" s="22" t="s">
        <v>172</v>
      </c>
      <c r="C47" s="12">
        <v>-0.03</v>
      </c>
      <c r="D47" s="12">
        <v>-7.0000000000000007E-2</v>
      </c>
      <c r="E47" s="12">
        <v>-0.01</v>
      </c>
      <c r="F47" s="12">
        <v>-0.13</v>
      </c>
    </row>
    <row r="48" spans="1:10" ht="12.5" customHeight="1">
      <c r="A48" s="12" t="s">
        <v>173</v>
      </c>
      <c r="B48" s="22" t="s">
        <v>38</v>
      </c>
      <c r="C48" s="12">
        <f>SUM(C44:C47)</f>
        <v>4.370000000000009</v>
      </c>
      <c r="D48" s="12">
        <f>SUM(D44:D47)</f>
        <v>4.1199999999999939</v>
      </c>
      <c r="E48" s="12">
        <f>SUM(E44:E47)</f>
        <v>3.76</v>
      </c>
      <c r="F48" s="12">
        <f>SUM(F44:F47)</f>
        <v>4.1499999999999941</v>
      </c>
    </row>
    <row r="49" spans="1:6" ht="12.5" customHeight="1">
      <c r="A49" s="12" t="s">
        <v>174</v>
      </c>
      <c r="B49" s="22" t="s">
        <v>175</v>
      </c>
      <c r="C49" s="12">
        <v>4.28</v>
      </c>
      <c r="D49" s="12">
        <v>3.97</v>
      </c>
      <c r="E49" s="12">
        <v>3.72</v>
      </c>
      <c r="F49" s="12">
        <v>4.0599999999999996</v>
      </c>
    </row>
    <row r="50" spans="1:6" ht="12.5" customHeight="1">
      <c r="A50" s="12"/>
      <c r="B50" s="22" t="s">
        <v>176</v>
      </c>
      <c r="C50" s="12">
        <v>6.12</v>
      </c>
      <c r="D50" s="12">
        <v>6.02</v>
      </c>
      <c r="E50" s="12">
        <v>5.93</v>
      </c>
      <c r="F50" s="12">
        <v>5.92</v>
      </c>
    </row>
    <row r="51" spans="1:6" ht="12.5" customHeight="1">
      <c r="A51" s="12"/>
      <c r="B51" s="22" t="s">
        <v>177</v>
      </c>
      <c r="C51" s="17">
        <f>C49/C50</f>
        <v>0.69934640522875824</v>
      </c>
      <c r="D51" s="17">
        <f>D49/D50</f>
        <v>0.65946843853820603</v>
      </c>
      <c r="E51" s="17">
        <f>E49/E50</f>
        <v>0.62731871838111308</v>
      </c>
      <c r="F51" s="17">
        <f>F49/F50</f>
        <v>0.68581081081081074</v>
      </c>
    </row>
    <row r="52" spans="1:6" ht="12.5" customHeight="1">
      <c r="A52" s="12"/>
      <c r="B52" s="22" t="s">
        <v>178</v>
      </c>
      <c r="C52" s="12">
        <v>0.67</v>
      </c>
      <c r="D52" s="12">
        <v>0.63</v>
      </c>
      <c r="E52" s="12">
        <v>0.59</v>
      </c>
      <c r="F52" s="12">
        <v>0.65</v>
      </c>
    </row>
    <row r="53" spans="1:6" ht="12.5" customHeight="1">
      <c r="A53" s="12"/>
      <c r="B53" s="12"/>
      <c r="C53" s="12"/>
      <c r="D53" s="12"/>
      <c r="E53" s="12"/>
      <c r="F53" s="12"/>
    </row>
    <row r="54" spans="1:6" ht="12.5" customHeight="1">
      <c r="A54" s="26" t="s">
        <v>179</v>
      </c>
      <c r="B54" s="26" t="s">
        <v>180</v>
      </c>
      <c r="C54" s="26" t="s">
        <v>1</v>
      </c>
      <c r="D54" s="26" t="s">
        <v>2</v>
      </c>
      <c r="E54" s="26" t="s">
        <v>3</v>
      </c>
      <c r="F54" s="26" t="s">
        <v>4</v>
      </c>
    </row>
    <row r="55" spans="1:6" ht="12.5" customHeight="1">
      <c r="A55" s="27" t="s">
        <v>181</v>
      </c>
      <c r="B55" s="27" t="s">
        <v>182</v>
      </c>
      <c r="C55" s="28">
        <v>40.35</v>
      </c>
      <c r="D55" s="28">
        <v>41.59</v>
      </c>
      <c r="E55" s="28">
        <v>30.68</v>
      </c>
      <c r="F55" s="28">
        <v>21.66</v>
      </c>
    </row>
    <row r="56" spans="1:6" ht="12.5" customHeight="1">
      <c r="A56" s="27" t="s">
        <v>183</v>
      </c>
      <c r="B56" s="27" t="s">
        <v>184</v>
      </c>
      <c r="C56" s="28">
        <v>22.2</v>
      </c>
      <c r="D56" s="28">
        <v>22.17</v>
      </c>
      <c r="E56" s="28">
        <v>19.63</v>
      </c>
      <c r="F56" s="28">
        <v>20.75</v>
      </c>
    </row>
    <row r="57" spans="1:6" ht="12.5" customHeight="1">
      <c r="A57" s="27" t="s">
        <v>185</v>
      </c>
      <c r="B57" s="27" t="s">
        <v>186</v>
      </c>
      <c r="C57" s="28">
        <v>4.2300000000000004</v>
      </c>
      <c r="D57" s="28">
        <v>3.78</v>
      </c>
      <c r="E57" s="28">
        <v>3.49</v>
      </c>
      <c r="F57" s="28">
        <v>3.22</v>
      </c>
    </row>
    <row r="58" spans="1:6" ht="12.5" customHeight="1">
      <c r="A58" s="27" t="s">
        <v>187</v>
      </c>
      <c r="B58" s="27" t="s">
        <v>188</v>
      </c>
      <c r="C58" s="28">
        <v>20.79</v>
      </c>
      <c r="D58" s="28">
        <v>19.79</v>
      </c>
      <c r="E58" s="28">
        <v>18.329999999999998</v>
      </c>
      <c r="F58" s="28">
        <v>18.170000000000002</v>
      </c>
    </row>
    <row r="59" spans="1:6" ht="12.5" customHeight="1">
      <c r="A59" s="27" t="s">
        <v>189</v>
      </c>
      <c r="B59" s="27" t="s">
        <v>190</v>
      </c>
      <c r="C59" s="28">
        <v>78.66</v>
      </c>
      <c r="D59" s="28">
        <v>74.06</v>
      </c>
      <c r="E59" s="28">
        <v>64.14</v>
      </c>
      <c r="F59" s="28">
        <v>55.9</v>
      </c>
    </row>
    <row r="60" spans="1:6" ht="12.5" customHeight="1">
      <c r="A60" s="27" t="s">
        <v>191</v>
      </c>
      <c r="B60" s="27" t="s">
        <v>192</v>
      </c>
      <c r="C60" s="28">
        <v>2.29</v>
      </c>
      <c r="D60" s="28">
        <v>2.23</v>
      </c>
      <c r="E60" s="28">
        <v>2.09</v>
      </c>
      <c r="F60" s="28">
        <v>1.69</v>
      </c>
    </row>
    <row r="61" spans="1:6" ht="12.5" customHeight="1">
      <c r="A61" s="27" t="s">
        <v>63</v>
      </c>
      <c r="B61" s="27" t="s">
        <v>193</v>
      </c>
      <c r="C61" s="28">
        <v>65.05</v>
      </c>
      <c r="D61" s="28">
        <v>64.13</v>
      </c>
      <c r="E61" s="28">
        <v>68.34</v>
      </c>
      <c r="F61" s="28">
        <v>72.45</v>
      </c>
    </row>
    <row r="62" spans="1:6" ht="12.5" customHeight="1">
      <c r="A62" s="27" t="s">
        <v>194</v>
      </c>
      <c r="B62" s="27" t="s">
        <v>195</v>
      </c>
      <c r="C62" s="28">
        <v>5.77</v>
      </c>
      <c r="D62" s="28">
        <v>4.75</v>
      </c>
      <c r="E62" s="28">
        <v>4.12</v>
      </c>
      <c r="F62" s="28">
        <v>3.56</v>
      </c>
    </row>
    <row r="63" spans="1:6" ht="12.5" customHeight="1">
      <c r="A63" s="29" t="s">
        <v>196</v>
      </c>
      <c r="B63" s="29" t="s">
        <v>197</v>
      </c>
      <c r="C63" s="29">
        <f>SUM(C55:C62)</f>
        <v>239.34</v>
      </c>
      <c r="D63" s="29">
        <f>SUM(D55:D62)</f>
        <v>232.5</v>
      </c>
      <c r="E63" s="29">
        <f>SUM(E55:E62)</f>
        <v>210.82</v>
      </c>
      <c r="F63" s="29">
        <f>SUM(F55:F62)</f>
        <v>197.39999999999998</v>
      </c>
    </row>
    <row r="64" spans="1:6" ht="12.5" customHeight="1">
      <c r="A64" s="27" t="s">
        <v>198</v>
      </c>
      <c r="B64" s="27" t="s">
        <v>199</v>
      </c>
      <c r="C64" s="28">
        <v>12.73</v>
      </c>
      <c r="D64" s="28">
        <v>13.07</v>
      </c>
      <c r="E64" s="28">
        <v>11.9</v>
      </c>
      <c r="F64" s="28">
        <v>11.38</v>
      </c>
    </row>
    <row r="65" spans="1:6" ht="12.5" customHeight="1">
      <c r="A65" s="27" t="s">
        <v>200</v>
      </c>
      <c r="B65" s="27" t="s">
        <v>201</v>
      </c>
      <c r="C65" s="28">
        <v>15.65</v>
      </c>
      <c r="D65" s="28">
        <v>14.25</v>
      </c>
      <c r="E65" s="28">
        <v>13.28</v>
      </c>
      <c r="F65" s="28">
        <v>12.33</v>
      </c>
    </row>
    <row r="66" spans="1:6" ht="12.5" customHeight="1">
      <c r="A66" s="27" t="s">
        <v>202</v>
      </c>
      <c r="B66" s="27" t="s">
        <v>203</v>
      </c>
      <c r="C66" s="28">
        <v>0.09</v>
      </c>
      <c r="D66" s="28">
        <v>0.12</v>
      </c>
      <c r="E66" s="28">
        <v>0.16</v>
      </c>
      <c r="F66" s="28">
        <v>0.15</v>
      </c>
    </row>
    <row r="67" spans="1:6" ht="12.5" customHeight="1">
      <c r="A67" s="27" t="s">
        <v>204</v>
      </c>
      <c r="B67" s="27" t="s">
        <v>205</v>
      </c>
      <c r="C67" s="28">
        <v>21.73</v>
      </c>
      <c r="D67" s="28">
        <v>18.89</v>
      </c>
      <c r="E67" s="28">
        <v>18.28</v>
      </c>
      <c r="F67" s="28">
        <v>21.22</v>
      </c>
    </row>
    <row r="68" spans="1:6" ht="12.5" customHeight="1">
      <c r="A68" s="27" t="s">
        <v>206</v>
      </c>
      <c r="B68" s="27" t="s">
        <v>207</v>
      </c>
      <c r="C68" s="28">
        <v>2.68</v>
      </c>
      <c r="D68" s="28">
        <v>1.86</v>
      </c>
      <c r="E68" s="28">
        <v>2.15</v>
      </c>
      <c r="F68" s="28">
        <v>2.1</v>
      </c>
    </row>
    <row r="69" spans="1:6" ht="12.5" customHeight="1">
      <c r="A69" s="27" t="s">
        <v>208</v>
      </c>
      <c r="B69" s="27" t="s">
        <v>209</v>
      </c>
      <c r="C69" s="28">
        <v>6.09</v>
      </c>
      <c r="D69" s="28">
        <v>5.58</v>
      </c>
      <c r="E69" s="28">
        <v>3.45</v>
      </c>
      <c r="F69" s="28">
        <v>2.39</v>
      </c>
    </row>
    <row r="70" spans="1:6" ht="12.5" customHeight="1">
      <c r="A70" s="27" t="s">
        <v>210</v>
      </c>
      <c r="B70" s="27" t="s">
        <v>211</v>
      </c>
      <c r="C70" s="28">
        <v>0.44</v>
      </c>
      <c r="D70" s="28">
        <v>0.44</v>
      </c>
      <c r="E70" s="28">
        <v>0.36</v>
      </c>
      <c r="F70" s="28">
        <v>0.33</v>
      </c>
    </row>
    <row r="71" spans="1:6" ht="12.5" customHeight="1">
      <c r="A71" s="27" t="s">
        <v>212</v>
      </c>
      <c r="B71" s="27" t="s">
        <v>213</v>
      </c>
      <c r="C71" s="28">
        <v>6.1</v>
      </c>
      <c r="D71" s="28">
        <v>5.96</v>
      </c>
      <c r="E71" s="28">
        <v>6.07</v>
      </c>
      <c r="F71" s="28">
        <v>6.02</v>
      </c>
    </row>
    <row r="72" spans="1:6" ht="12.5" customHeight="1">
      <c r="A72" s="27" t="s">
        <v>214</v>
      </c>
      <c r="B72" s="27" t="s">
        <v>215</v>
      </c>
      <c r="C72" s="28">
        <v>1.03</v>
      </c>
      <c r="D72" s="28">
        <v>1.04</v>
      </c>
      <c r="E72" s="28">
        <v>1.05</v>
      </c>
      <c r="F72" s="28">
        <v>1.08</v>
      </c>
    </row>
    <row r="73" spans="1:6" ht="12.5" customHeight="1">
      <c r="A73" s="29" t="s">
        <v>216</v>
      </c>
      <c r="B73" s="29" t="s">
        <v>217</v>
      </c>
      <c r="C73" s="29">
        <f>SUM(C64:C72)</f>
        <v>66.539999999999992</v>
      </c>
      <c r="D73" s="29">
        <f>SUM(D64:D72)</f>
        <v>61.209999999999994</v>
      </c>
      <c r="E73" s="29">
        <f>SUM(E64:E72)</f>
        <v>56.7</v>
      </c>
      <c r="F73" s="29">
        <f>SUM(F64:F72)</f>
        <v>57</v>
      </c>
    </row>
    <row r="74" spans="1:6" ht="12.5" customHeight="1">
      <c r="A74" s="30" t="s">
        <v>218</v>
      </c>
      <c r="B74" s="30" t="s">
        <v>219</v>
      </c>
      <c r="C74" s="30">
        <f>C63+C73</f>
        <v>305.88</v>
      </c>
      <c r="D74" s="30">
        <f>D63+D73</f>
        <v>293.70999999999998</v>
      </c>
      <c r="E74" s="30">
        <f>E63+E73</f>
        <v>267.52</v>
      </c>
      <c r="F74" s="30">
        <f>F63+F73</f>
        <v>254.39999999999998</v>
      </c>
    </row>
    <row r="75" spans="1:6" ht="12.5" customHeight="1">
      <c r="A75" s="27" t="s">
        <v>220</v>
      </c>
      <c r="B75" s="27" t="s">
        <v>221</v>
      </c>
      <c r="C75" s="28">
        <v>5.39</v>
      </c>
      <c r="D75" s="28">
        <v>4.68</v>
      </c>
      <c r="E75" s="28">
        <v>4.8</v>
      </c>
      <c r="F75" s="28">
        <v>3.59</v>
      </c>
    </row>
    <row r="76" spans="1:6" ht="12.5" customHeight="1">
      <c r="A76" s="27" t="s">
        <v>222</v>
      </c>
      <c r="B76" s="27" t="s">
        <v>223</v>
      </c>
      <c r="C76" s="28">
        <v>29.36</v>
      </c>
      <c r="D76" s="28">
        <v>31.57</v>
      </c>
      <c r="E76" s="28">
        <v>26.31</v>
      </c>
      <c r="F76" s="28">
        <v>24.2</v>
      </c>
    </row>
    <row r="77" spans="1:6" ht="12.5" customHeight="1">
      <c r="A77" s="27" t="s">
        <v>224</v>
      </c>
      <c r="B77" s="27" t="s">
        <v>225</v>
      </c>
      <c r="C77" s="28">
        <v>40.630000000000003</v>
      </c>
      <c r="D77" s="28">
        <v>37.979999999999997</v>
      </c>
      <c r="E77" s="28">
        <v>34.840000000000003</v>
      </c>
      <c r="F77" s="28">
        <v>34.14</v>
      </c>
    </row>
    <row r="78" spans="1:6" ht="12.5" customHeight="1">
      <c r="A78" s="27" t="s">
        <v>226</v>
      </c>
      <c r="B78" s="27" t="s">
        <v>227</v>
      </c>
      <c r="C78" s="28">
        <v>31.55</v>
      </c>
      <c r="D78" s="28">
        <v>30.97</v>
      </c>
      <c r="E78" s="28">
        <v>27.76</v>
      </c>
      <c r="F78" s="28">
        <v>27.94</v>
      </c>
    </row>
    <row r="79" spans="1:6" ht="12.5" customHeight="1">
      <c r="A79" s="27" t="s">
        <v>228</v>
      </c>
      <c r="B79" s="27" t="s">
        <v>229</v>
      </c>
      <c r="C79" s="28">
        <v>4.17</v>
      </c>
      <c r="D79" s="28">
        <v>2.73</v>
      </c>
      <c r="E79" s="28">
        <v>2.5299999999999998</v>
      </c>
      <c r="F79" s="28">
        <v>1.1000000000000001</v>
      </c>
    </row>
    <row r="80" spans="1:6" ht="12.5" customHeight="1">
      <c r="A80" s="27" t="s">
        <v>230</v>
      </c>
      <c r="B80" s="27" t="s">
        <v>231</v>
      </c>
      <c r="C80" s="28">
        <v>2.64</v>
      </c>
      <c r="D80" s="28">
        <v>2.83</v>
      </c>
      <c r="E80" s="28">
        <v>2.25</v>
      </c>
      <c r="F80" s="28">
        <v>2.09</v>
      </c>
    </row>
    <row r="81" spans="1:6" ht="12.5" customHeight="1">
      <c r="A81" s="27" t="s">
        <v>232</v>
      </c>
      <c r="B81" s="27" t="s">
        <v>233</v>
      </c>
      <c r="C81" s="28">
        <v>3.87</v>
      </c>
      <c r="D81" s="28">
        <v>3.68</v>
      </c>
      <c r="E81" s="28">
        <v>3.41</v>
      </c>
      <c r="F81" s="28">
        <v>3.28</v>
      </c>
    </row>
    <row r="82" spans="1:6" ht="12.5" customHeight="1">
      <c r="A82" s="27" t="s">
        <v>234</v>
      </c>
      <c r="B82" s="27" t="s">
        <v>235</v>
      </c>
      <c r="C82" s="28">
        <v>9.9600000000000009</v>
      </c>
      <c r="D82" s="28">
        <v>10.5</v>
      </c>
      <c r="E82" s="28">
        <v>23.36</v>
      </c>
      <c r="F82" s="28">
        <v>11.49</v>
      </c>
    </row>
    <row r="83" spans="1:6" ht="12.5" customHeight="1">
      <c r="A83" s="27" t="s">
        <v>236</v>
      </c>
      <c r="B83" s="27" t="s">
        <v>237</v>
      </c>
      <c r="C83" s="28">
        <v>21.18</v>
      </c>
      <c r="D83" s="28">
        <v>19.68</v>
      </c>
      <c r="E83" s="28">
        <v>19.77</v>
      </c>
      <c r="F83" s="28">
        <v>17.7</v>
      </c>
    </row>
    <row r="84" spans="1:6" ht="12.5" customHeight="1">
      <c r="A84" s="27" t="s">
        <v>238</v>
      </c>
      <c r="B84" s="27" t="s">
        <v>239</v>
      </c>
      <c r="C84" s="28">
        <v>2.95</v>
      </c>
      <c r="D84" s="28">
        <v>2.19</v>
      </c>
      <c r="E84" s="28">
        <v>1.88</v>
      </c>
      <c r="F84" s="28">
        <v>1.76</v>
      </c>
    </row>
    <row r="85" spans="1:6" ht="12.5" customHeight="1">
      <c r="A85" s="29" t="s">
        <v>240</v>
      </c>
      <c r="B85" s="29" t="s">
        <v>241</v>
      </c>
      <c r="C85" s="29">
        <f>SUM(C75:C84)</f>
        <v>151.69999999999999</v>
      </c>
      <c r="D85" s="29">
        <f>SUM(D75:D84)</f>
        <v>146.81</v>
      </c>
      <c r="E85" s="29">
        <f>SUM(E75:E84)</f>
        <v>146.91</v>
      </c>
      <c r="F85" s="29">
        <f>SUM(F75:F84)</f>
        <v>127.29</v>
      </c>
    </row>
    <row r="86" spans="1:6" ht="12.5" customHeight="1">
      <c r="A86" s="27" t="s">
        <v>242</v>
      </c>
      <c r="B86" s="27" t="s">
        <v>243</v>
      </c>
      <c r="C86" s="28">
        <v>0.72</v>
      </c>
      <c r="D86" s="28">
        <v>1.08</v>
      </c>
      <c r="E86" s="28">
        <v>0.92</v>
      </c>
      <c r="F86" s="28">
        <v>0.91</v>
      </c>
    </row>
    <row r="87" spans="1:6" ht="12.5" customHeight="1">
      <c r="A87" s="27" t="s">
        <v>244</v>
      </c>
      <c r="B87" s="27" t="s">
        <v>245</v>
      </c>
      <c r="C87" s="28">
        <v>7.03</v>
      </c>
      <c r="D87" s="28">
        <v>5.0999999999999996</v>
      </c>
      <c r="E87" s="28">
        <v>2.95</v>
      </c>
      <c r="F87" s="28">
        <v>3.07</v>
      </c>
    </row>
    <row r="88" spans="1:6" ht="12.5" customHeight="1">
      <c r="A88" s="27" t="s">
        <v>246</v>
      </c>
      <c r="B88" s="27" t="s">
        <v>247</v>
      </c>
      <c r="C88" s="28">
        <v>12.35</v>
      </c>
      <c r="D88" s="28">
        <v>11.19</v>
      </c>
      <c r="E88" s="28">
        <v>10.47</v>
      </c>
      <c r="F88" s="28">
        <v>9.68</v>
      </c>
    </row>
    <row r="89" spans="1:6" ht="12.5" customHeight="1">
      <c r="A89" s="27" t="s">
        <v>248</v>
      </c>
      <c r="B89" s="27" t="s">
        <v>249</v>
      </c>
      <c r="C89" s="28">
        <v>2.34</v>
      </c>
      <c r="D89" s="28">
        <v>1.3</v>
      </c>
      <c r="E89" s="28">
        <v>1.6</v>
      </c>
      <c r="F89" s="28">
        <v>1.78</v>
      </c>
    </row>
    <row r="90" spans="1:6" ht="12.5" customHeight="1">
      <c r="A90" s="27" t="s">
        <v>250</v>
      </c>
      <c r="B90" s="27" t="s">
        <v>251</v>
      </c>
      <c r="C90" s="28">
        <v>0</v>
      </c>
      <c r="D90" s="28">
        <v>0</v>
      </c>
      <c r="E90" s="28">
        <v>0</v>
      </c>
      <c r="F90" s="28">
        <v>12.31</v>
      </c>
    </row>
    <row r="91" spans="1:6" ht="12.5" customHeight="1">
      <c r="A91" s="27" t="s">
        <v>252</v>
      </c>
      <c r="B91" s="27" t="s">
        <v>253</v>
      </c>
      <c r="C91" s="28">
        <v>0.6</v>
      </c>
      <c r="D91" s="28">
        <v>0.4</v>
      </c>
      <c r="E91" s="28">
        <v>0.31</v>
      </c>
      <c r="F91" s="28">
        <v>0.19</v>
      </c>
    </row>
    <row r="92" spans="1:6" ht="12.5" customHeight="1">
      <c r="A92" s="27" t="s">
        <v>254</v>
      </c>
      <c r="B92" s="27" t="s">
        <v>255</v>
      </c>
      <c r="C92" s="28">
        <v>1.36</v>
      </c>
      <c r="D92" s="28">
        <v>1.36</v>
      </c>
      <c r="E92" s="28">
        <v>1.32</v>
      </c>
      <c r="F92" s="28">
        <v>1.32</v>
      </c>
    </row>
    <row r="93" spans="1:6" ht="12.5" customHeight="1">
      <c r="A93" s="29" t="s">
        <v>256</v>
      </c>
      <c r="B93" s="29" t="s">
        <v>257</v>
      </c>
      <c r="C93" s="29">
        <f>SUM(C86:C92)</f>
        <v>24.400000000000002</v>
      </c>
      <c r="D93" s="29">
        <f>SUM(D86:D92)</f>
        <v>20.429999999999996</v>
      </c>
      <c r="E93" s="29">
        <f>SUM(E86:E92)</f>
        <v>17.57</v>
      </c>
      <c r="F93" s="29">
        <f>SUM(F86:F92)</f>
        <v>29.26</v>
      </c>
    </row>
    <row r="94" spans="1:6" ht="12.5" customHeight="1">
      <c r="A94" s="29" t="s">
        <v>258</v>
      </c>
      <c r="B94" s="29" t="s">
        <v>259</v>
      </c>
      <c r="C94" s="29">
        <f>C85+C93</f>
        <v>176.1</v>
      </c>
      <c r="D94" s="29">
        <f>D85+D93</f>
        <v>167.24</v>
      </c>
      <c r="E94" s="29">
        <f>E85+E93</f>
        <v>164.48</v>
      </c>
      <c r="F94" s="29">
        <f>F85+F93</f>
        <v>156.55000000000001</v>
      </c>
    </row>
    <row r="95" spans="1:6" ht="12.5" customHeight="1">
      <c r="A95" s="31"/>
      <c r="B95" s="31"/>
      <c r="C95" s="31">
        <f>C74-C94</f>
        <v>129.78</v>
      </c>
      <c r="D95" s="31">
        <f>D74-D94</f>
        <v>126.46999999999997</v>
      </c>
      <c r="E95" s="31">
        <f>E74-E94</f>
        <v>103.03999999999999</v>
      </c>
      <c r="F95" s="31">
        <f>F74-F94</f>
        <v>97.849999999999966</v>
      </c>
    </row>
    <row r="96" spans="1:6" ht="12.5" customHeight="1">
      <c r="A96" s="27" t="s">
        <v>260</v>
      </c>
      <c r="B96" s="27" t="s">
        <v>261</v>
      </c>
      <c r="C96" s="28">
        <v>0</v>
      </c>
      <c r="D96" s="28">
        <v>0</v>
      </c>
      <c r="E96" s="28">
        <v>0</v>
      </c>
      <c r="F96" s="28">
        <v>0</v>
      </c>
    </row>
    <row r="97" spans="1:6" ht="12.5" customHeight="1">
      <c r="A97" s="27" t="s">
        <v>262</v>
      </c>
      <c r="B97" s="27" t="s">
        <v>263</v>
      </c>
      <c r="C97" s="28">
        <v>0</v>
      </c>
      <c r="D97" s="28">
        <v>0</v>
      </c>
      <c r="E97" s="28">
        <v>0</v>
      </c>
      <c r="F97" s="28">
        <v>0</v>
      </c>
    </row>
    <row r="98" spans="1:6" ht="12.5" customHeight="1">
      <c r="A98" s="27" t="s">
        <v>264</v>
      </c>
      <c r="B98" s="27" t="s">
        <v>265</v>
      </c>
      <c r="C98" s="28">
        <v>-1.49</v>
      </c>
      <c r="D98" s="28">
        <v>-0.15</v>
      </c>
      <c r="E98" s="28">
        <v>0</v>
      </c>
      <c r="F98" s="28">
        <v>0</v>
      </c>
    </row>
    <row r="99" spans="1:6" ht="12.5" customHeight="1">
      <c r="A99" s="27" t="s">
        <v>266</v>
      </c>
      <c r="B99" s="27" t="s">
        <v>267</v>
      </c>
      <c r="C99" s="28">
        <v>192.46</v>
      </c>
      <c r="D99" s="28">
        <v>191.05</v>
      </c>
      <c r="E99" s="28">
        <v>172.15</v>
      </c>
      <c r="F99" s="28">
        <v>170.41</v>
      </c>
    </row>
    <row r="100" spans="1:6" ht="12.5" customHeight="1">
      <c r="A100" s="27" t="s">
        <v>268</v>
      </c>
      <c r="B100" s="27" t="s">
        <v>269</v>
      </c>
      <c r="C100" s="28">
        <v>-1.03</v>
      </c>
      <c r="D100" s="28">
        <v>-0.05</v>
      </c>
      <c r="E100" s="28">
        <v>-0.62</v>
      </c>
      <c r="F100" s="28">
        <v>-0.36</v>
      </c>
    </row>
    <row r="101" spans="1:6" ht="12.5" customHeight="1">
      <c r="A101" s="27" t="s">
        <v>270</v>
      </c>
      <c r="B101" s="27" t="s">
        <v>271</v>
      </c>
      <c r="C101" s="28">
        <v>0.18</v>
      </c>
      <c r="D101" s="28">
        <v>0.18</v>
      </c>
      <c r="E101" s="28">
        <v>0.17</v>
      </c>
      <c r="F101" s="28">
        <v>0.17</v>
      </c>
    </row>
    <row r="102" spans="1:6" ht="12.5" customHeight="1">
      <c r="A102" s="27" t="s">
        <v>272</v>
      </c>
      <c r="B102" s="27" t="s">
        <v>273</v>
      </c>
      <c r="C102" s="28">
        <v>-61.58</v>
      </c>
      <c r="D102" s="28">
        <v>-65.77</v>
      </c>
      <c r="E102" s="28">
        <v>-69.739999999999995</v>
      </c>
      <c r="F102" s="28">
        <v>-73.459999999999994</v>
      </c>
    </row>
    <row r="103" spans="1:6" ht="12.5" customHeight="1">
      <c r="A103" s="29" t="s">
        <v>274</v>
      </c>
      <c r="B103" s="29" t="s">
        <v>275</v>
      </c>
      <c r="C103" s="29">
        <f>SUM(C96:C102)</f>
        <v>128.54000000000002</v>
      </c>
      <c r="D103" s="29">
        <f>SUM(D96:D102)</f>
        <v>125.26</v>
      </c>
      <c r="E103" s="29">
        <f>SUM(E96:E102)</f>
        <v>101.96</v>
      </c>
      <c r="F103" s="29">
        <f>SUM(F96:F102)</f>
        <v>96.759999999999977</v>
      </c>
    </row>
    <row r="104" spans="1:6" ht="12.5" customHeight="1">
      <c r="A104" s="27" t="s">
        <v>276</v>
      </c>
      <c r="B104" s="27" t="s">
        <v>277</v>
      </c>
      <c r="C104" s="28">
        <v>1.28</v>
      </c>
      <c r="D104" s="28">
        <v>1.22</v>
      </c>
      <c r="E104" s="28">
        <v>1.08</v>
      </c>
      <c r="F104" s="28">
        <v>1.07</v>
      </c>
    </row>
    <row r="105" spans="1:6" ht="12.5" customHeight="1">
      <c r="A105" s="29" t="s">
        <v>278</v>
      </c>
      <c r="B105" s="29" t="s">
        <v>279</v>
      </c>
      <c r="C105" s="29">
        <f>C103+C104</f>
        <v>129.82000000000002</v>
      </c>
      <c r="D105" s="29">
        <f>D103+D104</f>
        <v>126.48</v>
      </c>
      <c r="E105" s="29">
        <f>E103+E104</f>
        <v>103.03999999999999</v>
      </c>
      <c r="F105" s="29">
        <f>F103+F104</f>
        <v>97.82999999999997</v>
      </c>
    </row>
    <row r="106" spans="1:6" ht="12.5" customHeight="1">
      <c r="A106" s="30" t="s">
        <v>280</v>
      </c>
      <c r="B106" s="30" t="s">
        <v>281</v>
      </c>
      <c r="C106" s="30">
        <f>C94+C105</f>
        <v>305.92</v>
      </c>
      <c r="D106" s="30">
        <f>D94+D105</f>
        <v>293.72000000000003</v>
      </c>
      <c r="E106" s="30">
        <f>E94+E105</f>
        <v>267.52</v>
      </c>
      <c r="F106" s="30">
        <f>F94+F105</f>
        <v>254.38</v>
      </c>
    </row>
    <row r="107" spans="1:6" ht="12.5" customHeight="1">
      <c r="A107" s="12"/>
      <c r="B107" s="12"/>
      <c r="C107" s="12"/>
      <c r="D107" s="12"/>
      <c r="E107" s="12"/>
      <c r="F107" s="12"/>
    </row>
    <row r="108" spans="1:6" ht="12.5" customHeight="1">
      <c r="A108" s="12"/>
      <c r="B108" s="12"/>
      <c r="C108" s="12"/>
      <c r="D108" s="12"/>
      <c r="E108" s="12"/>
      <c r="F108" s="12"/>
    </row>
    <row r="109" spans="1:6" ht="12.5" customHeight="1">
      <c r="A109" s="12"/>
      <c r="B109" s="12"/>
      <c r="C109" s="12"/>
      <c r="D109" s="12"/>
      <c r="E109" s="12"/>
      <c r="F109" s="12"/>
    </row>
    <row r="110" spans="1:6" ht="12.5" customHeight="1">
      <c r="A110" s="12"/>
      <c r="B110" s="12"/>
      <c r="C110" s="12"/>
      <c r="D110" s="12"/>
      <c r="E110" s="12"/>
      <c r="F110" s="12"/>
    </row>
    <row r="111" spans="1:6" ht="12.5" customHeight="1">
      <c r="A111" s="12"/>
      <c r="B111" s="12"/>
      <c r="C111" s="12"/>
      <c r="D111" s="12"/>
      <c r="E111" s="12"/>
      <c r="F111" s="12"/>
    </row>
    <row r="112" spans="1:6" ht="12.5" customHeight="1">
      <c r="A112" s="12"/>
      <c r="B112" s="12"/>
      <c r="C112" s="12"/>
      <c r="D112" s="12"/>
      <c r="E112" s="12"/>
      <c r="F112" s="12"/>
    </row>
    <row r="113" spans="1:6" ht="12.5" customHeight="1">
      <c r="A113" s="12"/>
      <c r="B113" s="12"/>
      <c r="C113" s="12"/>
      <c r="D113" s="12"/>
      <c r="E113" s="12"/>
      <c r="F113" s="12"/>
    </row>
    <row r="114" spans="1:6" ht="12.5" customHeight="1">
      <c r="A114" s="12"/>
      <c r="B114" s="12"/>
      <c r="C114" s="12"/>
      <c r="D114" s="12"/>
      <c r="E114" s="12"/>
      <c r="F114" s="12"/>
    </row>
    <row r="115" spans="1:6" ht="12.5" customHeight="1">
      <c r="A115" s="12"/>
      <c r="B115" s="12"/>
      <c r="C115" s="12"/>
      <c r="D115" s="12"/>
      <c r="E115" s="12"/>
      <c r="F115" s="12"/>
    </row>
    <row r="116" spans="1:6" ht="12.5" customHeight="1">
      <c r="A116" s="12"/>
      <c r="B116" s="12"/>
      <c r="C116" s="12"/>
      <c r="D116" s="12"/>
      <c r="E116" s="12"/>
      <c r="F116" s="12"/>
    </row>
    <row r="117" spans="1:6" ht="12.5" customHeight="1">
      <c r="A117" s="12"/>
      <c r="B117" s="12"/>
      <c r="C117" s="12"/>
      <c r="D117" s="12"/>
      <c r="E117" s="12"/>
      <c r="F117" s="12"/>
    </row>
    <row r="118" spans="1:6" ht="12.5" customHeight="1">
      <c r="A118" s="12"/>
      <c r="B118" s="12"/>
      <c r="C118" s="12"/>
      <c r="D118" s="12"/>
      <c r="E118" s="12"/>
      <c r="F118" s="12"/>
    </row>
    <row r="119" spans="1:6" ht="12.5" customHeight="1">
      <c r="A119" s="12"/>
      <c r="B119" s="12"/>
      <c r="C119" s="12"/>
      <c r="D119" s="12"/>
      <c r="E119" s="12"/>
      <c r="F119" s="12"/>
    </row>
    <row r="120" spans="1:6" ht="12.5" customHeight="1">
      <c r="A120" s="12"/>
      <c r="B120" s="12"/>
      <c r="C120" s="12"/>
      <c r="D120" s="12"/>
      <c r="E120" s="12"/>
      <c r="F120" s="12"/>
    </row>
    <row r="121" spans="1:6" ht="12.5" customHeight="1">
      <c r="A121" s="12"/>
      <c r="B121" s="12"/>
      <c r="C121" s="12"/>
      <c r="D121" s="12"/>
      <c r="E121" s="12"/>
      <c r="F121" s="12"/>
    </row>
    <row r="122" spans="1:6" ht="12.5" customHeight="1">
      <c r="A122" s="12"/>
      <c r="B122" s="12"/>
      <c r="C122" s="12"/>
      <c r="D122" s="12"/>
      <c r="E122" s="12"/>
      <c r="F122" s="12"/>
    </row>
    <row r="123" spans="1:6" ht="12.5" customHeight="1">
      <c r="A123" s="12"/>
      <c r="B123" s="12"/>
      <c r="C123" s="12"/>
      <c r="D123" s="12"/>
      <c r="E123" s="12"/>
      <c r="F123" s="12"/>
    </row>
    <row r="124" spans="1:6" ht="12.5" customHeight="1">
      <c r="A124" s="12"/>
      <c r="B124" s="12"/>
      <c r="C124" s="12"/>
      <c r="D124" s="12"/>
      <c r="E124" s="12"/>
      <c r="F124" s="12"/>
    </row>
    <row r="125" spans="1:6" ht="12.5" customHeight="1">
      <c r="A125" s="12"/>
      <c r="B125" s="12"/>
      <c r="C125" s="12"/>
      <c r="D125" s="12"/>
      <c r="E125" s="12"/>
      <c r="F125" s="12"/>
    </row>
    <row r="126" spans="1:6" ht="12.5" customHeight="1">
      <c r="A126" s="12"/>
      <c r="B126" s="12"/>
      <c r="C126" s="12"/>
      <c r="D126" s="12"/>
      <c r="E126" s="12"/>
      <c r="F126" s="12"/>
    </row>
    <row r="127" spans="1:6" ht="12.5" customHeight="1">
      <c r="A127" s="12"/>
      <c r="B127" s="12"/>
      <c r="C127" s="12"/>
      <c r="D127" s="12"/>
      <c r="E127" s="12"/>
      <c r="F127" s="12"/>
    </row>
    <row r="128" spans="1:6" ht="12.5" customHeight="1">
      <c r="A128" s="12"/>
      <c r="B128" s="12"/>
      <c r="C128" s="12"/>
      <c r="D128" s="12"/>
      <c r="E128" s="12"/>
      <c r="F128" s="12"/>
    </row>
    <row r="129" spans="1:6" ht="12.5" customHeight="1">
      <c r="A129" s="12"/>
      <c r="B129" s="12"/>
      <c r="C129" s="12"/>
      <c r="D129" s="12"/>
      <c r="E129" s="12"/>
      <c r="F129" s="12"/>
    </row>
    <row r="130" spans="1:6" ht="12.5" customHeight="1">
      <c r="A130" s="12"/>
      <c r="B130" s="12"/>
      <c r="C130" s="12"/>
      <c r="D130" s="12"/>
      <c r="E130" s="12"/>
      <c r="F130" s="12"/>
    </row>
    <row r="131" spans="1:6" ht="12.5" customHeight="1">
      <c r="A131" s="12"/>
      <c r="B131" s="12"/>
      <c r="C131" s="12"/>
      <c r="D131" s="12"/>
      <c r="E131" s="12"/>
      <c r="F131" s="12"/>
    </row>
    <row r="132" spans="1:6" ht="12.5" customHeight="1">
      <c r="A132" s="12"/>
      <c r="B132" s="12"/>
      <c r="C132" s="12"/>
      <c r="D132" s="12"/>
      <c r="E132" s="12"/>
      <c r="F132" s="12"/>
    </row>
    <row r="133" spans="1:6" ht="12.5" customHeight="1">
      <c r="A133" s="12"/>
      <c r="B133" s="12"/>
      <c r="C133" s="12"/>
      <c r="D133" s="12"/>
      <c r="E133" s="12"/>
      <c r="F133" s="12"/>
    </row>
    <row r="134" spans="1:6" ht="12.5" customHeight="1">
      <c r="A134" s="12"/>
      <c r="B134" s="12"/>
      <c r="C134" s="12"/>
      <c r="D134" s="12"/>
      <c r="E134" s="12"/>
      <c r="F134" s="12"/>
    </row>
    <row r="135" spans="1:6" ht="12.5" customHeight="1">
      <c r="A135" s="12"/>
      <c r="B135" s="12"/>
      <c r="C135" s="12"/>
      <c r="D135" s="12"/>
      <c r="E135" s="12"/>
      <c r="F135" s="12"/>
    </row>
    <row r="136" spans="1:6" ht="12.5" customHeight="1">
      <c r="A136" s="12"/>
      <c r="B136" s="12"/>
      <c r="C136" s="12"/>
      <c r="D136" s="12"/>
      <c r="E136" s="12"/>
      <c r="F136" s="12"/>
    </row>
    <row r="137" spans="1:6" ht="12.5" customHeight="1">
      <c r="A137" s="12"/>
      <c r="B137" s="12"/>
      <c r="C137" s="12"/>
      <c r="D137" s="12"/>
      <c r="E137" s="12"/>
      <c r="F137" s="12"/>
    </row>
    <row r="138" spans="1:6" ht="12.5" customHeight="1">
      <c r="A138" s="12"/>
      <c r="B138" s="12"/>
      <c r="C138" s="12"/>
      <c r="D138" s="12"/>
      <c r="E138" s="12"/>
      <c r="F138" s="12"/>
    </row>
    <row r="139" spans="1:6" ht="12.5" customHeight="1">
      <c r="A139" s="12"/>
      <c r="B139" s="12"/>
      <c r="C139" s="12"/>
      <c r="D139" s="12"/>
      <c r="E139" s="12"/>
      <c r="F139" s="12"/>
    </row>
    <row r="140" spans="1:6" ht="12.5" customHeight="1">
      <c r="A140" s="12"/>
      <c r="B140" s="12"/>
      <c r="C140" s="12"/>
      <c r="D140" s="12"/>
      <c r="E140" s="12"/>
      <c r="F140" s="12"/>
    </row>
    <row r="141" spans="1:6" ht="12.5" customHeight="1">
      <c r="A141" s="12"/>
      <c r="B141" s="12"/>
      <c r="C141" s="12"/>
      <c r="D141" s="12"/>
      <c r="E141" s="12"/>
      <c r="F141" s="12"/>
    </row>
    <row r="142" spans="1:6" ht="12.5" customHeight="1">
      <c r="A142" s="12"/>
      <c r="B142" s="12"/>
      <c r="C142" s="12"/>
      <c r="D142" s="12"/>
      <c r="E142" s="12"/>
      <c r="F142" s="12"/>
    </row>
    <row r="143" spans="1:6" ht="12.5" customHeight="1">
      <c r="A143" s="12"/>
      <c r="B143" s="12"/>
      <c r="C143" s="12"/>
      <c r="D143" s="12"/>
      <c r="E143" s="12"/>
      <c r="F143" s="12"/>
    </row>
    <row r="144" spans="1:6" ht="12.5" customHeight="1">
      <c r="A144" s="12"/>
      <c r="B144" s="12"/>
      <c r="C144" s="12"/>
      <c r="D144" s="12"/>
      <c r="E144" s="12"/>
      <c r="F144" s="12"/>
    </row>
    <row r="145" spans="1:6" ht="12.5" customHeight="1">
      <c r="A145" s="12"/>
      <c r="B145" s="12"/>
      <c r="C145" s="12"/>
      <c r="D145" s="12"/>
      <c r="E145" s="12"/>
      <c r="F145" s="12"/>
    </row>
    <row r="146" spans="1:6" ht="12.5" customHeight="1">
      <c r="A146" s="12"/>
      <c r="B146" s="12"/>
      <c r="C146" s="12"/>
      <c r="D146" s="12"/>
      <c r="E146" s="12"/>
      <c r="F146" s="12"/>
    </row>
    <row r="147" spans="1:6" ht="12.5" customHeight="1">
      <c r="A147" s="12"/>
      <c r="B147" s="12"/>
      <c r="C147" s="12"/>
      <c r="D147" s="12"/>
      <c r="E147" s="12"/>
      <c r="F147" s="12"/>
    </row>
    <row r="148" spans="1:6" ht="12.5" customHeight="1">
      <c r="A148" s="12"/>
      <c r="B148" s="12"/>
      <c r="C148" s="12"/>
      <c r="D148" s="12"/>
      <c r="E148" s="12"/>
      <c r="F148" s="12"/>
    </row>
    <row r="149" spans="1:6" ht="12.5" customHeight="1">
      <c r="A149" s="12"/>
      <c r="B149" s="12"/>
      <c r="C149" s="12"/>
      <c r="D149" s="12"/>
      <c r="E149" s="12"/>
      <c r="F149" s="12"/>
    </row>
    <row r="150" spans="1:6" ht="12.5" customHeight="1">
      <c r="A150" s="12"/>
      <c r="B150" s="12"/>
      <c r="C150" s="12"/>
      <c r="D150" s="12"/>
      <c r="E150" s="12"/>
      <c r="F150" s="12"/>
    </row>
    <row r="151" spans="1:6" ht="12.5" customHeight="1">
      <c r="A151" s="12"/>
      <c r="B151" s="12"/>
      <c r="C151" s="12"/>
      <c r="D151" s="12"/>
      <c r="E151" s="12"/>
      <c r="F151" s="12"/>
    </row>
    <row r="152" spans="1:6" ht="12.5" customHeight="1">
      <c r="A152" s="12"/>
      <c r="B152" s="12"/>
      <c r="C152" s="12"/>
      <c r="D152" s="12"/>
      <c r="E152" s="12"/>
      <c r="F152" s="12"/>
    </row>
    <row r="153" spans="1:6" ht="12.5" customHeight="1">
      <c r="A153" s="12"/>
      <c r="B153" s="12"/>
      <c r="C153" s="12"/>
      <c r="D153" s="12"/>
      <c r="E153" s="12"/>
      <c r="F153" s="12"/>
    </row>
    <row r="154" spans="1:6" ht="12.5" customHeight="1">
      <c r="A154" s="12"/>
      <c r="B154" s="12"/>
      <c r="C154" s="12"/>
      <c r="D154" s="12"/>
      <c r="E154" s="12"/>
      <c r="F154" s="12"/>
    </row>
    <row r="155" spans="1:6" ht="12.5" customHeight="1">
      <c r="A155" s="12"/>
      <c r="B155" s="12"/>
      <c r="C155" s="12"/>
      <c r="D155" s="12"/>
      <c r="E155" s="12"/>
      <c r="F155" s="12"/>
    </row>
    <row r="156" spans="1:6" ht="12.5" customHeight="1">
      <c r="A156" s="12"/>
      <c r="B156" s="12"/>
      <c r="C156" s="12"/>
      <c r="D156" s="12"/>
      <c r="E156" s="12"/>
      <c r="F156" s="12"/>
    </row>
    <row r="157" spans="1:6" ht="12.5" customHeight="1">
      <c r="A157" s="12"/>
      <c r="B157" s="12"/>
      <c r="C157" s="12"/>
      <c r="D157" s="12"/>
      <c r="E157" s="12"/>
      <c r="F157" s="12"/>
    </row>
    <row r="158" spans="1:6" ht="12.5" customHeight="1">
      <c r="A158" s="12"/>
      <c r="B158" s="12"/>
      <c r="C158" s="12"/>
      <c r="D158" s="12"/>
      <c r="E158" s="12"/>
      <c r="F158" s="12"/>
    </row>
    <row r="159" spans="1:6" ht="12.5" customHeight="1">
      <c r="A159" s="12"/>
      <c r="B159" s="12"/>
      <c r="C159" s="12"/>
      <c r="D159" s="12"/>
      <c r="E159" s="12"/>
      <c r="F159" s="12"/>
    </row>
    <row r="160" spans="1:6" ht="12.5" customHeight="1">
      <c r="A160" s="12"/>
      <c r="B160" s="12"/>
      <c r="C160" s="12"/>
      <c r="D160" s="12"/>
      <c r="E160" s="12"/>
      <c r="F160" s="12"/>
    </row>
    <row r="161" spans="1:6" ht="12.5" customHeight="1">
      <c r="A161" s="12"/>
      <c r="B161" s="12"/>
      <c r="C161" s="12"/>
      <c r="D161" s="12"/>
      <c r="E161" s="12"/>
      <c r="F161" s="12"/>
    </row>
    <row r="162" spans="1:6" ht="12.5" customHeight="1">
      <c r="A162" s="12"/>
      <c r="B162" s="12"/>
      <c r="C162" s="12"/>
      <c r="D162" s="12"/>
      <c r="E162" s="12"/>
      <c r="F162" s="12"/>
    </row>
    <row r="163" spans="1:6" ht="12.5" customHeight="1">
      <c r="A163" s="12"/>
      <c r="B163" s="12"/>
      <c r="C163" s="12"/>
      <c r="D163" s="12"/>
      <c r="E163" s="12"/>
      <c r="F163" s="12"/>
    </row>
    <row r="164" spans="1:6" ht="12.5" customHeight="1">
      <c r="A164" s="12"/>
      <c r="B164" s="12"/>
      <c r="C164" s="12"/>
      <c r="D164" s="12"/>
      <c r="E164" s="12"/>
      <c r="F164" s="12"/>
    </row>
    <row r="165" spans="1:6" ht="12.5" customHeight="1">
      <c r="A165" s="12"/>
      <c r="B165" s="12"/>
      <c r="C165" s="12"/>
      <c r="D165" s="12"/>
      <c r="E165" s="12"/>
      <c r="F165" s="12"/>
    </row>
    <row r="166" spans="1:6" ht="12.5" customHeight="1">
      <c r="A166" s="12"/>
      <c r="B166" s="12"/>
      <c r="C166" s="12"/>
      <c r="D166" s="12"/>
      <c r="E166" s="12"/>
      <c r="F166" s="12"/>
    </row>
    <row r="167" spans="1:6" ht="12.5" customHeight="1">
      <c r="A167" s="12"/>
      <c r="B167" s="12"/>
      <c r="C167" s="12"/>
      <c r="D167" s="12"/>
      <c r="E167" s="12"/>
      <c r="F167" s="12"/>
    </row>
    <row r="168" spans="1:6" ht="12.5" customHeight="1">
      <c r="A168" s="12"/>
      <c r="B168" s="12"/>
      <c r="C168" s="12"/>
      <c r="D168" s="12"/>
      <c r="E168" s="12"/>
      <c r="F168" s="12"/>
    </row>
    <row r="169" spans="1:6" ht="12.5" customHeight="1">
      <c r="A169" s="12"/>
      <c r="B169" s="12"/>
      <c r="C169" s="12"/>
      <c r="D169" s="12"/>
      <c r="E169" s="12"/>
      <c r="F169" s="12"/>
    </row>
    <row r="170" spans="1:6" ht="12.5" customHeight="1">
      <c r="A170" s="12"/>
      <c r="B170" s="12"/>
      <c r="C170" s="12"/>
      <c r="D170" s="12"/>
      <c r="E170" s="12"/>
      <c r="F170" s="12"/>
    </row>
    <row r="171" spans="1:6" ht="12.5" customHeight="1">
      <c r="A171" s="12"/>
      <c r="B171" s="12"/>
      <c r="C171" s="12"/>
      <c r="D171" s="12"/>
      <c r="E171" s="12"/>
      <c r="F171" s="12"/>
    </row>
    <row r="172" spans="1:6" ht="12.5" customHeight="1">
      <c r="A172" s="12"/>
      <c r="B172" s="12"/>
      <c r="C172" s="12"/>
      <c r="D172" s="12"/>
      <c r="E172" s="12"/>
      <c r="F172" s="12"/>
    </row>
    <row r="173" spans="1:6" ht="12.5" customHeight="1">
      <c r="A173" s="12"/>
      <c r="B173" s="12"/>
      <c r="C173" s="12"/>
      <c r="D173" s="12"/>
      <c r="E173" s="12"/>
      <c r="F173" s="12"/>
    </row>
    <row r="174" spans="1:6" ht="12.5" customHeight="1">
      <c r="A174" s="12"/>
      <c r="B174" s="12"/>
      <c r="C174" s="12"/>
      <c r="D174" s="12"/>
      <c r="E174" s="12"/>
      <c r="F174" s="12"/>
    </row>
    <row r="175" spans="1:6" ht="12.5" customHeight="1">
      <c r="A175" s="12"/>
      <c r="B175" s="12"/>
      <c r="C175" s="12"/>
      <c r="D175" s="12"/>
      <c r="E175" s="12"/>
      <c r="F175" s="12"/>
    </row>
    <row r="176" spans="1:6" ht="12.5" customHeight="1">
      <c r="A176" s="12"/>
      <c r="B176" s="12"/>
      <c r="C176" s="12"/>
      <c r="D176" s="12"/>
      <c r="E176" s="12"/>
      <c r="F176" s="12"/>
    </row>
    <row r="177" spans="1:6" ht="12.5" customHeight="1">
      <c r="A177" s="12"/>
      <c r="B177" s="12"/>
      <c r="C177" s="12"/>
      <c r="D177" s="12"/>
      <c r="E177" s="12"/>
      <c r="F177" s="12"/>
    </row>
    <row r="178" spans="1:6" ht="12.5" customHeight="1">
      <c r="A178" s="12"/>
      <c r="B178" s="12"/>
      <c r="C178" s="12"/>
      <c r="D178" s="12"/>
      <c r="E178" s="12"/>
      <c r="F178" s="12"/>
    </row>
    <row r="179" spans="1:6" ht="12.5" customHeight="1">
      <c r="A179" s="12"/>
      <c r="B179" s="12"/>
      <c r="C179" s="12"/>
      <c r="D179" s="12"/>
      <c r="E179" s="12"/>
      <c r="F179" s="12"/>
    </row>
    <row r="180" spans="1:6" ht="12.5" customHeight="1">
      <c r="A180" s="12"/>
      <c r="B180" s="12"/>
      <c r="C180" s="12"/>
      <c r="D180" s="12"/>
      <c r="E180" s="12"/>
      <c r="F180" s="12"/>
    </row>
    <row r="181" spans="1:6" ht="12.5" customHeight="1">
      <c r="A181" s="12"/>
      <c r="B181" s="12"/>
      <c r="C181" s="12"/>
      <c r="D181" s="12"/>
      <c r="E181" s="12"/>
      <c r="F181" s="12"/>
    </row>
    <row r="182" spans="1:6" ht="12.5" customHeight="1">
      <c r="A182" s="12"/>
      <c r="B182" s="12"/>
      <c r="C182" s="12"/>
      <c r="D182" s="12"/>
      <c r="E182" s="12"/>
      <c r="F182" s="12"/>
    </row>
    <row r="183" spans="1:6" ht="12.5" customHeight="1">
      <c r="A183" s="12"/>
      <c r="B183" s="12"/>
      <c r="C183" s="12"/>
      <c r="D183" s="12"/>
      <c r="E183" s="12"/>
      <c r="F183" s="12"/>
    </row>
    <row r="184" spans="1:6" ht="12.5" customHeight="1">
      <c r="A184" s="12"/>
      <c r="B184" s="12"/>
      <c r="C184" s="12"/>
      <c r="D184" s="12"/>
      <c r="E184" s="12"/>
      <c r="F184" s="12"/>
    </row>
    <row r="185" spans="1:6" ht="12.5" customHeight="1">
      <c r="A185" s="12"/>
      <c r="B185" s="12"/>
      <c r="C185" s="12"/>
      <c r="D185" s="12"/>
      <c r="E185" s="12"/>
      <c r="F185" s="12"/>
    </row>
    <row r="186" spans="1:6" ht="12.5" customHeight="1">
      <c r="A186" s="12"/>
      <c r="B186" s="12"/>
      <c r="C186" s="12"/>
      <c r="D186" s="12"/>
      <c r="E186" s="12"/>
      <c r="F186" s="12"/>
    </row>
    <row r="187" spans="1:6" ht="12.5" customHeight="1">
      <c r="A187" s="12"/>
      <c r="B187" s="12"/>
      <c r="C187" s="12"/>
      <c r="D187" s="12"/>
      <c r="E187" s="12"/>
      <c r="F187" s="12"/>
    </row>
    <row r="188" spans="1:6" ht="12.5" customHeight="1">
      <c r="A188" s="12"/>
      <c r="B188" s="12"/>
      <c r="C188" s="12"/>
      <c r="D188" s="12"/>
      <c r="E188" s="12"/>
      <c r="F188" s="12"/>
    </row>
    <row r="189" spans="1:6" ht="12.5" customHeight="1">
      <c r="A189" s="12"/>
      <c r="B189" s="12"/>
      <c r="C189" s="12"/>
      <c r="D189" s="12"/>
      <c r="E189" s="12"/>
      <c r="F189" s="12"/>
    </row>
    <row r="190" spans="1:6" ht="12.5" customHeight="1">
      <c r="A190" s="12"/>
      <c r="B190" s="12"/>
      <c r="C190" s="12"/>
      <c r="D190" s="12"/>
      <c r="E190" s="12"/>
      <c r="F190" s="12"/>
    </row>
    <row r="191" spans="1:6" ht="12.5" customHeight="1">
      <c r="A191" s="12"/>
      <c r="B191" s="12"/>
      <c r="C191" s="12"/>
      <c r="D191" s="12"/>
      <c r="E191" s="12"/>
      <c r="F191" s="12"/>
    </row>
    <row r="192" spans="1:6" ht="12.5" customHeight="1">
      <c r="A192" s="12"/>
      <c r="B192" s="12"/>
      <c r="C192" s="12"/>
      <c r="D192" s="12"/>
      <c r="E192" s="12"/>
      <c r="F192" s="12"/>
    </row>
    <row r="193" spans="1:6" ht="12.5" customHeight="1">
      <c r="A193" s="12"/>
      <c r="B193" s="12"/>
      <c r="C193" s="12"/>
      <c r="D193" s="12"/>
      <c r="E193" s="12"/>
      <c r="F193" s="12"/>
    </row>
    <row r="194" spans="1:6" ht="12.5" customHeight="1">
      <c r="A194" s="12"/>
      <c r="B194" s="12"/>
      <c r="C194" s="12"/>
      <c r="D194" s="12"/>
      <c r="E194" s="12"/>
      <c r="F194" s="12"/>
    </row>
    <row r="195" spans="1:6" ht="12.5" customHeight="1">
      <c r="A195" s="12"/>
      <c r="B195" s="12"/>
      <c r="C195" s="12"/>
      <c r="D195" s="12"/>
      <c r="E195" s="12"/>
      <c r="F195" s="12"/>
    </row>
    <row r="196" spans="1:6" ht="12.5" customHeight="1">
      <c r="A196" s="12"/>
      <c r="B196" s="12"/>
      <c r="C196" s="12"/>
      <c r="D196" s="12"/>
      <c r="E196" s="12"/>
      <c r="F196" s="12"/>
    </row>
    <row r="197" spans="1:6" ht="12.5" customHeight="1">
      <c r="A197" s="12"/>
      <c r="B197" s="12"/>
      <c r="C197" s="12"/>
      <c r="D197" s="12"/>
      <c r="E197" s="12"/>
      <c r="F197" s="12"/>
    </row>
    <row r="198" spans="1:6" ht="12.5" customHeight="1">
      <c r="A198" s="12"/>
      <c r="B198" s="12"/>
      <c r="C198" s="12"/>
      <c r="D198" s="12"/>
      <c r="E198" s="12"/>
      <c r="F198" s="12"/>
    </row>
    <row r="199" spans="1:6" ht="12.5" customHeight="1">
      <c r="A199" s="12"/>
      <c r="B199" s="12"/>
      <c r="C199" s="12"/>
      <c r="D199" s="12"/>
      <c r="E199" s="12"/>
      <c r="F199" s="12"/>
    </row>
    <row r="200" spans="1:6" ht="12.5" customHeight="1">
      <c r="A200" s="12"/>
      <c r="B200" s="12"/>
      <c r="C200" s="12"/>
      <c r="D200" s="12"/>
      <c r="E200" s="12"/>
      <c r="F200" s="12"/>
    </row>
    <row r="201" spans="1:6" ht="12.5" customHeight="1">
      <c r="A201" s="12"/>
      <c r="B201" s="12"/>
      <c r="C201" s="12"/>
      <c r="D201" s="12"/>
      <c r="E201" s="12"/>
      <c r="F201" s="12"/>
    </row>
    <row r="202" spans="1:6" ht="12.5" customHeight="1">
      <c r="A202" s="12"/>
      <c r="B202" s="12"/>
      <c r="C202" s="12"/>
      <c r="D202" s="12"/>
      <c r="E202" s="12"/>
      <c r="F202" s="12"/>
    </row>
    <row r="203" spans="1:6" ht="12.5" customHeight="1">
      <c r="A203" s="12"/>
      <c r="B203" s="12"/>
      <c r="C203" s="12"/>
      <c r="D203" s="12"/>
      <c r="E203" s="12"/>
      <c r="F203" s="12"/>
    </row>
    <row r="204" spans="1:6" ht="12.5" customHeight="1">
      <c r="A204" s="12"/>
      <c r="B204" s="12"/>
      <c r="C204" s="12"/>
      <c r="D204" s="12"/>
      <c r="E204" s="12"/>
      <c r="F204" s="12"/>
    </row>
    <row r="205" spans="1:6" ht="12.5" customHeight="1">
      <c r="A205" s="12"/>
      <c r="B205" s="12"/>
      <c r="C205" s="12"/>
      <c r="D205" s="12"/>
      <c r="E205" s="12"/>
      <c r="F205" s="12"/>
    </row>
    <row r="206" spans="1:6" ht="12.5" customHeight="1">
      <c r="A206" s="12"/>
      <c r="B206" s="12"/>
      <c r="C206" s="12"/>
      <c r="D206" s="12"/>
      <c r="E206" s="12"/>
      <c r="F206" s="12"/>
    </row>
    <row r="207" spans="1:6" ht="12.5" customHeight="1">
      <c r="A207" s="12"/>
      <c r="B207" s="12"/>
      <c r="C207" s="12"/>
      <c r="D207" s="12"/>
      <c r="E207" s="12"/>
      <c r="F207" s="12"/>
    </row>
    <row r="208" spans="1:6" ht="12.5" customHeight="1">
      <c r="A208" s="12"/>
      <c r="B208" s="12"/>
      <c r="C208" s="12"/>
      <c r="D208" s="12"/>
      <c r="E208" s="12"/>
      <c r="F208" s="12"/>
    </row>
    <row r="209" spans="1:6" ht="12.5" customHeight="1">
      <c r="A209" s="12"/>
      <c r="B209" s="12"/>
      <c r="C209" s="12"/>
      <c r="D209" s="12"/>
      <c r="E209" s="12"/>
      <c r="F209" s="12"/>
    </row>
    <row r="210" spans="1:6" ht="12.5" customHeight="1">
      <c r="A210" s="12"/>
      <c r="B210" s="12"/>
      <c r="C210" s="12"/>
      <c r="D210" s="12"/>
      <c r="E210" s="12"/>
      <c r="F210" s="12"/>
    </row>
    <row r="211" spans="1:6" ht="12.5" customHeight="1">
      <c r="A211" s="12"/>
      <c r="B211" s="12"/>
      <c r="C211" s="12"/>
      <c r="D211" s="12"/>
      <c r="E211" s="12"/>
      <c r="F211" s="12"/>
    </row>
    <row r="212" spans="1:6" ht="12.5" customHeight="1">
      <c r="A212" s="12"/>
      <c r="B212" s="12"/>
      <c r="C212" s="12"/>
      <c r="D212" s="12"/>
      <c r="E212" s="12"/>
      <c r="F212" s="12"/>
    </row>
    <row r="213" spans="1:6" ht="12.5" customHeight="1">
      <c r="A213" s="12"/>
      <c r="B213" s="12"/>
      <c r="C213" s="12"/>
      <c r="D213" s="12"/>
      <c r="E213" s="12"/>
      <c r="F213" s="12"/>
    </row>
    <row r="214" spans="1:6" ht="12.5" customHeight="1">
      <c r="A214" s="12"/>
      <c r="B214" s="12"/>
      <c r="C214" s="12"/>
      <c r="D214" s="12"/>
      <c r="E214" s="12"/>
      <c r="F214" s="12"/>
    </row>
    <row r="215" spans="1:6" ht="12.5" customHeight="1">
      <c r="A215" s="12"/>
      <c r="B215" s="12"/>
      <c r="C215" s="12"/>
      <c r="D215" s="12"/>
      <c r="E215" s="12"/>
      <c r="F215" s="12"/>
    </row>
    <row r="216" spans="1:6" ht="12.5" customHeight="1">
      <c r="A216" s="12"/>
      <c r="B216" s="12"/>
      <c r="C216" s="12"/>
      <c r="D216" s="12"/>
      <c r="E216" s="12"/>
      <c r="F216" s="12"/>
    </row>
    <row r="217" spans="1:6" ht="12.5" customHeight="1">
      <c r="A217" s="12"/>
      <c r="B217" s="12"/>
      <c r="C217" s="12"/>
      <c r="D217" s="12"/>
      <c r="E217" s="12"/>
      <c r="F217" s="12"/>
    </row>
    <row r="218" spans="1:6" ht="12.5" customHeight="1">
      <c r="A218" s="12"/>
      <c r="B218" s="12"/>
      <c r="C218" s="12"/>
      <c r="D218" s="12"/>
      <c r="E218" s="12"/>
      <c r="F218" s="12"/>
    </row>
    <row r="219" spans="1:6" ht="12.5" customHeight="1">
      <c r="A219" s="12"/>
      <c r="B219" s="12"/>
      <c r="C219" s="12"/>
      <c r="D219" s="12"/>
      <c r="E219" s="12"/>
      <c r="F219" s="12"/>
    </row>
    <row r="220" spans="1:6" ht="12.5" customHeight="1">
      <c r="A220" s="12"/>
      <c r="B220" s="12"/>
      <c r="C220" s="12"/>
      <c r="D220" s="12"/>
      <c r="E220" s="12"/>
      <c r="F220" s="12"/>
    </row>
    <row r="221" spans="1:6" ht="12.5" customHeight="1">
      <c r="A221" s="12"/>
      <c r="B221" s="12"/>
      <c r="C221" s="12"/>
      <c r="D221" s="12"/>
      <c r="E221" s="12"/>
      <c r="F221" s="12"/>
    </row>
    <row r="222" spans="1:6" ht="12.5" customHeight="1">
      <c r="A222" s="12"/>
      <c r="B222" s="12"/>
      <c r="C222" s="12"/>
      <c r="D222" s="12"/>
      <c r="E222" s="12"/>
      <c r="F222" s="12"/>
    </row>
    <row r="223" spans="1:6" ht="12.5" customHeight="1">
      <c r="A223" s="12"/>
      <c r="B223" s="12"/>
      <c r="C223" s="12"/>
      <c r="D223" s="12"/>
      <c r="E223" s="12"/>
      <c r="F223" s="12"/>
    </row>
    <row r="224" spans="1:6" ht="12.5" customHeight="1">
      <c r="A224" s="12"/>
      <c r="B224" s="12"/>
      <c r="C224" s="12"/>
      <c r="D224" s="12"/>
      <c r="E224" s="12"/>
      <c r="F224" s="12"/>
    </row>
    <row r="225" spans="1:6" ht="12.5" customHeight="1">
      <c r="A225" s="12"/>
      <c r="B225" s="12"/>
      <c r="C225" s="12"/>
      <c r="D225" s="12"/>
      <c r="E225" s="12"/>
      <c r="F225" s="12"/>
    </row>
    <row r="226" spans="1:6" ht="12.5" customHeight="1">
      <c r="A226" s="12"/>
      <c r="B226" s="12"/>
      <c r="C226" s="12"/>
      <c r="D226" s="12"/>
      <c r="E226" s="12"/>
      <c r="F226" s="12"/>
    </row>
    <row r="227" spans="1:6" ht="12.5" customHeight="1">
      <c r="A227" s="12"/>
      <c r="B227" s="12"/>
      <c r="C227" s="12"/>
      <c r="D227" s="12"/>
      <c r="E227" s="12"/>
      <c r="F227" s="12"/>
    </row>
    <row r="228" spans="1:6" ht="12.5" customHeight="1">
      <c r="A228" s="12"/>
      <c r="B228" s="12"/>
      <c r="C228" s="12"/>
      <c r="D228" s="12"/>
      <c r="E228" s="12"/>
      <c r="F228" s="12"/>
    </row>
    <row r="229" spans="1:6" ht="12.5" customHeight="1">
      <c r="A229" s="12"/>
      <c r="B229" s="12"/>
      <c r="C229" s="12"/>
      <c r="D229" s="12"/>
      <c r="E229" s="12"/>
      <c r="F229" s="12"/>
    </row>
    <row r="230" spans="1:6" ht="12.5" customHeight="1">
      <c r="A230" s="12"/>
      <c r="B230" s="12"/>
      <c r="C230" s="12"/>
      <c r="D230" s="12"/>
      <c r="E230" s="12"/>
      <c r="F230" s="12"/>
    </row>
    <row r="231" spans="1:6" ht="12.5" customHeight="1">
      <c r="A231" s="12"/>
      <c r="B231" s="12"/>
      <c r="C231" s="12"/>
      <c r="D231" s="12"/>
      <c r="E231" s="12"/>
      <c r="F231" s="12"/>
    </row>
    <row r="232" spans="1:6" ht="12.5" customHeight="1">
      <c r="A232" s="12"/>
      <c r="B232" s="12"/>
      <c r="C232" s="12"/>
      <c r="D232" s="12"/>
      <c r="E232" s="12"/>
      <c r="F232" s="12"/>
    </row>
    <row r="233" spans="1:6" ht="12.5" customHeight="1">
      <c r="A233" s="12"/>
      <c r="B233" s="12"/>
      <c r="C233" s="12"/>
      <c r="D233" s="12"/>
      <c r="E233" s="12"/>
      <c r="F233" s="12"/>
    </row>
    <row r="234" spans="1:6" ht="12.5" customHeight="1">
      <c r="A234" s="12"/>
      <c r="B234" s="12"/>
      <c r="C234" s="12"/>
      <c r="D234" s="12"/>
      <c r="E234" s="12"/>
      <c r="F234" s="12"/>
    </row>
    <row r="235" spans="1:6" ht="12.5" customHeight="1">
      <c r="A235" s="12"/>
      <c r="B235" s="12"/>
      <c r="C235" s="12"/>
      <c r="D235" s="12"/>
      <c r="E235" s="12"/>
      <c r="F235" s="12"/>
    </row>
    <row r="236" spans="1:6" ht="12.5" customHeight="1">
      <c r="A236" s="12"/>
      <c r="B236" s="12"/>
      <c r="C236" s="12"/>
      <c r="D236" s="12"/>
      <c r="E236" s="12"/>
      <c r="F236" s="12"/>
    </row>
    <row r="237" spans="1:6" ht="12.5" customHeight="1">
      <c r="A237" s="12"/>
      <c r="B237" s="12"/>
      <c r="C237" s="12"/>
      <c r="D237" s="12"/>
      <c r="E237" s="12"/>
      <c r="F237" s="12"/>
    </row>
    <row r="238" spans="1:6" ht="12.5" customHeight="1">
      <c r="A238" s="12"/>
      <c r="B238" s="12"/>
      <c r="C238" s="12"/>
      <c r="D238" s="12"/>
      <c r="E238" s="12"/>
      <c r="F238" s="12"/>
    </row>
    <row r="239" spans="1:6" ht="12.5" customHeight="1">
      <c r="A239" s="12"/>
      <c r="B239" s="12"/>
      <c r="C239" s="12"/>
      <c r="D239" s="12"/>
      <c r="E239" s="12"/>
      <c r="F239" s="12"/>
    </row>
    <row r="240" spans="1:6" ht="12.5" customHeight="1">
      <c r="A240" s="12"/>
      <c r="B240" s="12"/>
      <c r="C240" s="12"/>
      <c r="D240" s="12"/>
      <c r="E240" s="12"/>
      <c r="F240" s="12"/>
    </row>
    <row r="241" spans="1:6" ht="12.5" customHeight="1">
      <c r="A241" s="12"/>
      <c r="B241" s="12"/>
      <c r="C241" s="12"/>
      <c r="D241" s="12"/>
      <c r="E241" s="12"/>
      <c r="F241" s="12"/>
    </row>
    <row r="242" spans="1:6" ht="12.5" customHeight="1">
      <c r="A242" s="12"/>
      <c r="B242" s="12"/>
      <c r="C242" s="12"/>
      <c r="D242" s="12"/>
      <c r="E242" s="12"/>
      <c r="F242" s="12"/>
    </row>
    <row r="243" spans="1:6" ht="12.5" customHeight="1">
      <c r="A243" s="12"/>
      <c r="B243" s="12"/>
      <c r="C243" s="12"/>
      <c r="D243" s="12"/>
      <c r="E243" s="12"/>
      <c r="F243" s="12"/>
    </row>
    <row r="244" spans="1:6" ht="12.5" customHeight="1">
      <c r="A244" s="12"/>
      <c r="B244" s="12"/>
      <c r="C244" s="12"/>
      <c r="D244" s="12"/>
      <c r="E244" s="12"/>
      <c r="F244" s="12"/>
    </row>
    <row r="245" spans="1:6" ht="12.5" customHeight="1">
      <c r="A245" s="12"/>
      <c r="B245" s="12"/>
      <c r="C245" s="12"/>
      <c r="D245" s="12"/>
      <c r="E245" s="12"/>
      <c r="F245" s="12"/>
    </row>
    <row r="246" spans="1:6" ht="12.5" customHeight="1">
      <c r="A246" s="12"/>
      <c r="B246" s="12"/>
      <c r="C246" s="12"/>
      <c r="D246" s="12"/>
      <c r="E246" s="12"/>
      <c r="F246" s="12"/>
    </row>
    <row r="247" spans="1:6" ht="12.5" customHeight="1">
      <c r="A247" s="12"/>
      <c r="B247" s="12"/>
      <c r="C247" s="12"/>
      <c r="D247" s="12"/>
      <c r="E247" s="12"/>
      <c r="F247" s="12"/>
    </row>
    <row r="248" spans="1:6" ht="12.5" customHeight="1">
      <c r="A248" s="12"/>
      <c r="B248" s="12"/>
      <c r="C248" s="12"/>
      <c r="D248" s="12"/>
      <c r="E248" s="12"/>
      <c r="F248" s="12"/>
    </row>
    <row r="249" spans="1:6" ht="12.5" customHeight="1">
      <c r="A249" s="12"/>
      <c r="B249" s="12"/>
      <c r="C249" s="12"/>
      <c r="D249" s="12"/>
      <c r="E249" s="12"/>
      <c r="F249" s="12"/>
    </row>
    <row r="250" spans="1:6" ht="12.5" customHeight="1">
      <c r="A250" s="12"/>
      <c r="B250" s="12"/>
      <c r="C250" s="12"/>
      <c r="D250" s="12"/>
      <c r="E250" s="12"/>
      <c r="F250" s="12"/>
    </row>
    <row r="251" spans="1:6" ht="12.5" customHeight="1">
      <c r="A251" s="12"/>
      <c r="B251" s="12"/>
      <c r="C251" s="12"/>
      <c r="D251" s="12"/>
      <c r="E251" s="12"/>
      <c r="F251" s="12"/>
    </row>
    <row r="252" spans="1:6" ht="12.5" customHeight="1">
      <c r="A252" s="12"/>
      <c r="B252" s="12"/>
      <c r="C252" s="12"/>
      <c r="D252" s="12"/>
      <c r="E252" s="12"/>
      <c r="F252" s="12"/>
    </row>
    <row r="253" spans="1:6" ht="12.5" customHeight="1">
      <c r="A253" s="12"/>
      <c r="B253" s="12"/>
      <c r="C253" s="12"/>
      <c r="D253" s="12"/>
      <c r="E253" s="12"/>
      <c r="F253" s="12"/>
    </row>
    <row r="254" spans="1:6" ht="12.5" customHeight="1">
      <c r="A254" s="12"/>
      <c r="B254" s="12"/>
      <c r="C254" s="12"/>
      <c r="D254" s="12"/>
      <c r="E254" s="12"/>
      <c r="F254" s="12"/>
    </row>
    <row r="255" spans="1:6" ht="12.5" customHeight="1">
      <c r="A255" s="12"/>
      <c r="B255" s="12"/>
      <c r="C255" s="12"/>
      <c r="D255" s="12"/>
      <c r="E255" s="12"/>
      <c r="F255" s="12"/>
    </row>
    <row r="256" spans="1:6" ht="12.5" customHeight="1">
      <c r="A256" s="12"/>
      <c r="B256" s="12"/>
      <c r="C256" s="12"/>
      <c r="D256" s="12"/>
      <c r="E256" s="12"/>
      <c r="F256" s="12"/>
    </row>
    <row r="257" spans="1:6" ht="12.5" customHeight="1">
      <c r="A257" s="12"/>
      <c r="B257" s="12"/>
      <c r="C257" s="12"/>
      <c r="D257" s="12"/>
      <c r="E257" s="12"/>
      <c r="F257" s="12"/>
    </row>
    <row r="258" spans="1:6" ht="12.5" customHeight="1">
      <c r="A258" s="12"/>
      <c r="B258" s="12"/>
      <c r="C258" s="12"/>
      <c r="D258" s="12"/>
      <c r="E258" s="12"/>
      <c r="F258" s="12"/>
    </row>
    <row r="259" spans="1:6" ht="12.5" customHeight="1">
      <c r="A259" s="12"/>
      <c r="B259" s="12"/>
      <c r="C259" s="12"/>
      <c r="D259" s="12"/>
      <c r="E259" s="12"/>
      <c r="F259" s="12"/>
    </row>
    <row r="260" spans="1:6" ht="12.5" customHeight="1">
      <c r="A260" s="12"/>
      <c r="B260" s="12"/>
      <c r="C260" s="12"/>
      <c r="D260" s="12"/>
      <c r="E260" s="12"/>
      <c r="F260" s="12"/>
    </row>
    <row r="261" spans="1:6" ht="12.5" customHeight="1">
      <c r="A261" s="12"/>
      <c r="B261" s="12"/>
      <c r="C261" s="12"/>
      <c r="D261" s="12"/>
      <c r="E261" s="12"/>
      <c r="F261" s="12"/>
    </row>
    <row r="262" spans="1:6" ht="12.5" customHeight="1">
      <c r="A262" s="12"/>
      <c r="B262" s="12"/>
      <c r="C262" s="12"/>
      <c r="D262" s="12"/>
      <c r="E262" s="12"/>
      <c r="F262" s="12"/>
    </row>
    <row r="263" spans="1:6" ht="12.5" customHeight="1">
      <c r="A263" s="12"/>
      <c r="B263" s="12"/>
      <c r="C263" s="12"/>
      <c r="D263" s="12"/>
      <c r="E263" s="12"/>
      <c r="F263" s="12"/>
    </row>
    <row r="264" spans="1:6" ht="12.5" customHeight="1">
      <c r="A264" s="12"/>
      <c r="B264" s="12"/>
      <c r="C264" s="12"/>
      <c r="D264" s="12"/>
      <c r="E264" s="12"/>
      <c r="F264" s="12"/>
    </row>
    <row r="265" spans="1:6" ht="12.5" customHeight="1">
      <c r="A265" s="12"/>
      <c r="B265" s="12"/>
      <c r="C265" s="12"/>
      <c r="D265" s="12"/>
      <c r="E265" s="12"/>
      <c r="F265" s="12"/>
    </row>
    <row r="266" spans="1:6" ht="12.5" customHeight="1">
      <c r="A266" s="12"/>
      <c r="B266" s="12"/>
      <c r="C266" s="12"/>
      <c r="D266" s="12"/>
      <c r="E266" s="12"/>
      <c r="F266" s="12"/>
    </row>
    <row r="267" spans="1:6" ht="12.5" customHeight="1">
      <c r="A267" s="12"/>
      <c r="B267" s="12"/>
      <c r="C267" s="12"/>
      <c r="D267" s="12"/>
      <c r="E267" s="12"/>
      <c r="F267" s="12"/>
    </row>
    <row r="268" spans="1:6" ht="12.5" customHeight="1">
      <c r="A268" s="12"/>
      <c r="B268" s="12"/>
      <c r="C268" s="12"/>
      <c r="D268" s="12"/>
      <c r="E268" s="12"/>
      <c r="F268" s="12"/>
    </row>
    <row r="269" spans="1:6" ht="12.5" customHeight="1">
      <c r="A269" s="12"/>
      <c r="B269" s="12"/>
      <c r="C269" s="12"/>
      <c r="D269" s="12"/>
      <c r="E269" s="12"/>
      <c r="F269" s="12"/>
    </row>
    <row r="270" spans="1:6" ht="12.5" customHeight="1">
      <c r="A270" s="12"/>
      <c r="B270" s="12"/>
      <c r="C270" s="12"/>
      <c r="D270" s="12"/>
      <c r="E270" s="12"/>
      <c r="F270" s="12"/>
    </row>
    <row r="271" spans="1:6" ht="12.5" customHeight="1">
      <c r="A271" s="12"/>
      <c r="B271" s="12"/>
      <c r="C271" s="12"/>
      <c r="D271" s="12"/>
      <c r="E271" s="12"/>
      <c r="F271" s="12"/>
    </row>
    <row r="272" spans="1:6" ht="12.5" customHeight="1">
      <c r="A272" s="12"/>
      <c r="B272" s="12"/>
      <c r="C272" s="12"/>
      <c r="D272" s="12"/>
      <c r="E272" s="12"/>
      <c r="F272" s="12"/>
    </row>
    <row r="273" spans="1:6" ht="12.5" customHeight="1">
      <c r="A273" s="12"/>
      <c r="B273" s="12"/>
      <c r="C273" s="12"/>
      <c r="D273" s="12"/>
      <c r="E273" s="12"/>
      <c r="F273" s="12"/>
    </row>
    <row r="274" spans="1:6" ht="12.5" customHeight="1">
      <c r="A274" s="12"/>
      <c r="B274" s="12"/>
      <c r="C274" s="12"/>
      <c r="D274" s="12"/>
      <c r="E274" s="12"/>
      <c r="F274" s="12"/>
    </row>
    <row r="275" spans="1:6" ht="12.5" customHeight="1">
      <c r="A275" s="12"/>
      <c r="B275" s="12"/>
      <c r="C275" s="12"/>
      <c r="D275" s="12"/>
      <c r="E275" s="12"/>
      <c r="F275" s="12"/>
    </row>
    <row r="276" spans="1:6" ht="12.5" customHeight="1">
      <c r="A276" s="12"/>
      <c r="B276" s="12"/>
      <c r="C276" s="12"/>
      <c r="D276" s="12"/>
      <c r="E276" s="12"/>
      <c r="F276" s="12"/>
    </row>
    <row r="277" spans="1:6" ht="12.5" customHeight="1">
      <c r="A277" s="12"/>
      <c r="B277" s="12"/>
      <c r="C277" s="12"/>
      <c r="D277" s="12"/>
      <c r="E277" s="12"/>
      <c r="F277" s="12"/>
    </row>
    <row r="278" spans="1:6" ht="12.5" customHeight="1">
      <c r="A278" s="12"/>
      <c r="B278" s="12"/>
      <c r="C278" s="12"/>
      <c r="D278" s="12"/>
      <c r="E278" s="12"/>
      <c r="F278" s="12"/>
    </row>
    <row r="279" spans="1:6" ht="12.5" customHeight="1">
      <c r="A279" s="12"/>
      <c r="B279" s="12"/>
      <c r="C279" s="12"/>
      <c r="D279" s="12"/>
      <c r="E279" s="12"/>
      <c r="F279" s="12"/>
    </row>
    <row r="280" spans="1:6" ht="12.5" customHeight="1">
      <c r="A280" s="12"/>
      <c r="B280" s="12"/>
      <c r="C280" s="12"/>
      <c r="D280" s="12"/>
      <c r="E280" s="12"/>
      <c r="F280" s="12"/>
    </row>
    <row r="281" spans="1:6" ht="12.5" customHeight="1">
      <c r="A281" s="12"/>
      <c r="B281" s="12"/>
      <c r="C281" s="12"/>
      <c r="D281" s="12"/>
      <c r="E281" s="12"/>
      <c r="F281" s="12"/>
    </row>
    <row r="282" spans="1:6" ht="12.5" customHeight="1">
      <c r="A282" s="12"/>
      <c r="B282" s="12"/>
      <c r="C282" s="12"/>
      <c r="D282" s="12"/>
      <c r="E282" s="12"/>
      <c r="F282" s="12"/>
    </row>
    <row r="283" spans="1:6" ht="12.5" customHeight="1">
      <c r="A283" s="12"/>
      <c r="B283" s="12"/>
      <c r="C283" s="12"/>
      <c r="D283" s="12"/>
      <c r="E283" s="12"/>
      <c r="F283" s="12"/>
    </row>
    <row r="284" spans="1:6" ht="12.5" customHeight="1">
      <c r="A284" s="12"/>
      <c r="B284" s="12"/>
      <c r="C284" s="12"/>
      <c r="D284" s="12"/>
      <c r="E284" s="12"/>
      <c r="F284" s="12"/>
    </row>
    <row r="285" spans="1:6" ht="12.5" customHeight="1">
      <c r="A285" s="12"/>
      <c r="B285" s="12"/>
      <c r="C285" s="12"/>
      <c r="D285" s="12"/>
      <c r="E285" s="12"/>
      <c r="F285" s="12"/>
    </row>
    <row r="286" spans="1:6" ht="12.5" customHeight="1">
      <c r="A286" s="12"/>
      <c r="B286" s="12"/>
      <c r="C286" s="12"/>
      <c r="D286" s="12"/>
      <c r="E286" s="12"/>
      <c r="F286" s="12"/>
    </row>
    <row r="287" spans="1:6" ht="12.5" customHeight="1">
      <c r="A287" s="12"/>
      <c r="B287" s="12"/>
      <c r="C287" s="12"/>
      <c r="D287" s="12"/>
      <c r="E287" s="12"/>
      <c r="F287" s="12"/>
    </row>
    <row r="288" spans="1:6" ht="12.5" customHeight="1">
      <c r="A288" s="12"/>
      <c r="B288" s="12"/>
      <c r="C288" s="12"/>
      <c r="D288" s="12"/>
      <c r="E288" s="12"/>
      <c r="F288" s="12"/>
    </row>
    <row r="289" spans="1:6" ht="12.5" customHeight="1">
      <c r="A289" s="12"/>
      <c r="B289" s="12"/>
      <c r="C289" s="12"/>
      <c r="D289" s="12"/>
      <c r="E289" s="12"/>
      <c r="F289" s="12"/>
    </row>
    <row r="290" spans="1:6" ht="12.5" customHeight="1">
      <c r="A290" s="12"/>
      <c r="B290" s="12"/>
      <c r="C290" s="12"/>
      <c r="D290" s="12"/>
      <c r="E290" s="12"/>
      <c r="F290" s="12"/>
    </row>
    <row r="291" spans="1:6" ht="12.5" customHeight="1">
      <c r="A291" s="12"/>
      <c r="B291" s="12"/>
      <c r="C291" s="12"/>
      <c r="D291" s="12"/>
      <c r="E291" s="12"/>
      <c r="F291" s="12"/>
    </row>
    <row r="292" spans="1:6" ht="12.5" customHeight="1">
      <c r="A292" s="12"/>
      <c r="B292" s="12"/>
      <c r="C292" s="12"/>
      <c r="D292" s="12"/>
      <c r="E292" s="12"/>
      <c r="F292" s="12"/>
    </row>
    <row r="293" spans="1:6" ht="12.5" customHeight="1">
      <c r="A293" s="12"/>
      <c r="B293" s="12"/>
      <c r="C293" s="12"/>
      <c r="D293" s="12"/>
      <c r="E293" s="12"/>
      <c r="F293" s="12"/>
    </row>
    <row r="294" spans="1:6" ht="12.5" customHeight="1">
      <c r="A294" s="12"/>
      <c r="B294" s="12"/>
      <c r="C294" s="12"/>
      <c r="D294" s="12"/>
      <c r="E294" s="12"/>
      <c r="F294" s="12"/>
    </row>
    <row r="295" spans="1:6" ht="12.5" customHeight="1">
      <c r="A295" s="12"/>
      <c r="B295" s="12"/>
      <c r="C295" s="12"/>
      <c r="D295" s="12"/>
      <c r="E295" s="12"/>
      <c r="F295" s="12"/>
    </row>
    <row r="296" spans="1:6" ht="12.5" customHeight="1">
      <c r="A296" s="12"/>
      <c r="B296" s="12"/>
      <c r="C296" s="12"/>
      <c r="D296" s="12"/>
      <c r="E296" s="12"/>
      <c r="F296" s="12"/>
    </row>
    <row r="297" spans="1:6" ht="12.5" customHeight="1">
      <c r="A297" s="12"/>
      <c r="B297" s="12"/>
      <c r="C297" s="12"/>
      <c r="D297" s="12"/>
      <c r="E297" s="12"/>
      <c r="F297" s="12"/>
    </row>
    <row r="298" spans="1:6" ht="12.5" customHeight="1">
      <c r="A298" s="12"/>
      <c r="B298" s="12"/>
      <c r="C298" s="12"/>
      <c r="D298" s="12"/>
      <c r="E298" s="12"/>
      <c r="F298" s="12"/>
    </row>
    <row r="299" spans="1:6" ht="12.5" customHeight="1">
      <c r="A299" s="12"/>
      <c r="B299" s="12"/>
      <c r="C299" s="12"/>
      <c r="D299" s="12"/>
      <c r="E299" s="12"/>
      <c r="F299" s="12"/>
    </row>
    <row r="300" spans="1:6" ht="12.5" customHeight="1">
      <c r="A300" s="12"/>
      <c r="B300" s="12"/>
      <c r="C300" s="12"/>
      <c r="D300" s="12"/>
      <c r="E300" s="12"/>
      <c r="F300" s="12"/>
    </row>
    <row r="301" spans="1:6" ht="12.5" customHeight="1">
      <c r="A301" s="12"/>
      <c r="B301" s="12"/>
      <c r="C301" s="12"/>
      <c r="D301" s="12"/>
      <c r="E301" s="12"/>
      <c r="F301" s="12"/>
    </row>
    <row r="302" spans="1:6" ht="12.5" customHeight="1">
      <c r="A302" s="12"/>
      <c r="B302" s="12"/>
      <c r="C302" s="12"/>
      <c r="D302" s="12"/>
      <c r="E302" s="12"/>
      <c r="F302" s="12"/>
    </row>
    <row r="303" spans="1:6" ht="12.5" customHeight="1">
      <c r="A303" s="12"/>
      <c r="B303" s="12"/>
      <c r="C303" s="12"/>
      <c r="D303" s="12"/>
      <c r="E303" s="12"/>
      <c r="F303" s="12"/>
    </row>
    <row r="304" spans="1:6" ht="12.5" customHeight="1">
      <c r="A304" s="12"/>
      <c r="B304" s="12"/>
      <c r="C304" s="12"/>
      <c r="D304" s="12"/>
      <c r="E304" s="12"/>
      <c r="F304" s="12"/>
    </row>
    <row r="305" spans="1:6" ht="12.5" customHeight="1">
      <c r="A305" s="12"/>
      <c r="B305" s="12"/>
      <c r="C305" s="12"/>
      <c r="D305" s="12"/>
      <c r="E305" s="12"/>
      <c r="F305" s="12"/>
    </row>
    <row r="306" spans="1:6" ht="12.5" customHeight="1">
      <c r="A306" s="12"/>
      <c r="B306" s="12"/>
      <c r="C306" s="12"/>
      <c r="D306" s="12"/>
      <c r="E306" s="12"/>
      <c r="F306" s="12"/>
    </row>
    <row r="307" spans="1:6" ht="12.5" customHeight="1">
      <c r="A307" s="12"/>
      <c r="B307" s="12"/>
      <c r="C307" s="12"/>
      <c r="D307" s="12"/>
      <c r="E307" s="12"/>
      <c r="F307" s="12"/>
    </row>
    <row r="308" spans="1:6" ht="12.5" customHeight="1">
      <c r="A308" s="12"/>
      <c r="B308" s="12"/>
      <c r="C308" s="12"/>
      <c r="D308" s="12"/>
      <c r="E308" s="12"/>
      <c r="F308" s="12"/>
    </row>
    <row r="309" spans="1:6" ht="12.5" customHeight="1">
      <c r="A309" s="12"/>
      <c r="B309" s="12"/>
      <c r="C309" s="12"/>
      <c r="D309" s="12"/>
      <c r="E309" s="12"/>
      <c r="F309" s="12"/>
    </row>
    <row r="310" spans="1:6" ht="12.5" customHeight="1">
      <c r="A310" s="12"/>
      <c r="B310" s="12"/>
      <c r="C310" s="12"/>
      <c r="D310" s="12"/>
      <c r="E310" s="12"/>
      <c r="F310" s="12"/>
    </row>
    <row r="311" spans="1:6" ht="12.5" customHeight="1">
      <c r="A311" s="12"/>
      <c r="B311" s="12"/>
      <c r="C311" s="12"/>
      <c r="D311" s="12"/>
      <c r="E311" s="12"/>
      <c r="F311" s="12"/>
    </row>
    <row r="312" spans="1:6" ht="12.5" customHeight="1">
      <c r="A312" s="12"/>
      <c r="B312" s="12"/>
      <c r="C312" s="12"/>
      <c r="D312" s="12"/>
      <c r="E312" s="12"/>
      <c r="F312" s="12"/>
    </row>
    <row r="313" spans="1:6" ht="12.5" customHeight="1">
      <c r="A313" s="12"/>
      <c r="B313" s="12"/>
      <c r="C313" s="12"/>
      <c r="D313" s="12"/>
      <c r="E313" s="12"/>
      <c r="F313" s="12"/>
    </row>
    <row r="314" spans="1:6" ht="12.5" customHeight="1">
      <c r="A314" s="12"/>
      <c r="B314" s="12"/>
      <c r="C314" s="12"/>
      <c r="D314" s="12"/>
      <c r="E314" s="12"/>
      <c r="F314" s="12"/>
    </row>
    <row r="315" spans="1:6" ht="12.5" customHeight="1">
      <c r="A315" s="12"/>
      <c r="B315" s="12"/>
      <c r="C315" s="12"/>
      <c r="D315" s="12"/>
      <c r="E315" s="12"/>
      <c r="F315" s="12"/>
    </row>
    <row r="316" spans="1:6" ht="12.5" customHeight="1">
      <c r="A316" s="12"/>
      <c r="B316" s="12"/>
      <c r="C316" s="12"/>
      <c r="D316" s="12"/>
      <c r="E316" s="12"/>
      <c r="F316" s="12"/>
    </row>
    <row r="317" spans="1:6" ht="12.5" customHeight="1">
      <c r="A317" s="12"/>
      <c r="B317" s="12"/>
      <c r="C317" s="12"/>
      <c r="D317" s="12"/>
      <c r="E317" s="12"/>
      <c r="F317" s="12"/>
    </row>
    <row r="318" spans="1:6" ht="12.5" customHeight="1">
      <c r="A318" s="12"/>
      <c r="B318" s="12"/>
      <c r="C318" s="12"/>
      <c r="D318" s="12"/>
      <c r="E318" s="12"/>
      <c r="F318" s="12"/>
    </row>
    <row r="319" spans="1:6" ht="12.5" customHeight="1">
      <c r="A319" s="12"/>
      <c r="B319" s="12"/>
      <c r="C319" s="12"/>
      <c r="D319" s="12"/>
      <c r="E319" s="12"/>
      <c r="F319" s="12"/>
    </row>
    <row r="320" spans="1:6" ht="12.5" customHeight="1">
      <c r="A320" s="12"/>
      <c r="B320" s="12"/>
      <c r="C320" s="12"/>
      <c r="D320" s="12"/>
      <c r="E320" s="12"/>
      <c r="F320" s="12"/>
    </row>
    <row r="321" spans="1:6" ht="12.5" customHeight="1">
      <c r="A321" s="12"/>
      <c r="B321" s="12"/>
      <c r="C321" s="12"/>
      <c r="D321" s="12"/>
      <c r="E321" s="12"/>
      <c r="F321" s="12"/>
    </row>
    <row r="322" spans="1:6" ht="12.5" customHeight="1">
      <c r="A322" s="12"/>
      <c r="B322" s="12"/>
      <c r="C322" s="12"/>
      <c r="D322" s="12"/>
      <c r="E322" s="12"/>
      <c r="F322" s="12"/>
    </row>
    <row r="323" spans="1:6" ht="12.5" customHeight="1">
      <c r="A323" s="12"/>
      <c r="B323" s="12"/>
      <c r="C323" s="12"/>
      <c r="D323" s="12"/>
      <c r="E323" s="12"/>
      <c r="F323" s="12"/>
    </row>
    <row r="324" spans="1:6" ht="12.5" customHeight="1">
      <c r="A324" s="12"/>
      <c r="B324" s="12"/>
      <c r="C324" s="12"/>
      <c r="D324" s="12"/>
      <c r="E324" s="12"/>
      <c r="F324" s="12"/>
    </row>
    <row r="325" spans="1:6" ht="12.5" customHeight="1">
      <c r="A325" s="12"/>
      <c r="B325" s="12"/>
      <c r="C325" s="12"/>
      <c r="D325" s="12"/>
      <c r="E325" s="12"/>
      <c r="F325" s="12"/>
    </row>
    <row r="326" spans="1:6" ht="12.5" customHeight="1">
      <c r="A326" s="12"/>
      <c r="B326" s="12"/>
      <c r="C326" s="12"/>
      <c r="D326" s="12"/>
      <c r="E326" s="12"/>
      <c r="F326" s="12"/>
    </row>
    <row r="327" spans="1:6" ht="12.5" customHeight="1">
      <c r="A327" s="12"/>
      <c r="B327" s="12"/>
      <c r="C327" s="12"/>
      <c r="D327" s="12"/>
      <c r="E327" s="12"/>
      <c r="F327" s="12"/>
    </row>
    <row r="328" spans="1:6" ht="12.5" customHeight="1">
      <c r="A328" s="12"/>
      <c r="B328" s="12"/>
      <c r="C328" s="12"/>
      <c r="D328" s="12"/>
      <c r="E328" s="12"/>
      <c r="F328" s="12"/>
    </row>
    <row r="329" spans="1:6" ht="12.5" customHeight="1">
      <c r="A329" s="12"/>
      <c r="B329" s="12"/>
      <c r="C329" s="12"/>
      <c r="D329" s="12"/>
      <c r="E329" s="12"/>
      <c r="F329" s="12"/>
    </row>
    <row r="330" spans="1:6" ht="12.5" customHeight="1">
      <c r="A330" s="12"/>
      <c r="B330" s="12"/>
      <c r="C330" s="12"/>
      <c r="D330" s="12"/>
      <c r="E330" s="12"/>
      <c r="F330" s="12"/>
    </row>
    <row r="331" spans="1:6" ht="12.5" customHeight="1">
      <c r="A331" s="12"/>
      <c r="B331" s="12"/>
      <c r="C331" s="12"/>
      <c r="D331" s="12"/>
      <c r="E331" s="12"/>
      <c r="F331" s="12"/>
    </row>
    <row r="332" spans="1:6" ht="12.5" customHeight="1">
      <c r="A332" s="12"/>
      <c r="B332" s="12"/>
      <c r="C332" s="12"/>
      <c r="D332" s="12"/>
      <c r="E332" s="12"/>
      <c r="F332" s="12"/>
    </row>
    <row r="333" spans="1:6" ht="12.5" customHeight="1">
      <c r="A333" s="12"/>
      <c r="B333" s="12"/>
      <c r="C333" s="12"/>
      <c r="D333" s="12"/>
      <c r="E333" s="12"/>
      <c r="F333" s="12"/>
    </row>
    <row r="334" spans="1:6" ht="12.5" customHeight="1">
      <c r="A334" s="12"/>
      <c r="B334" s="12"/>
      <c r="C334" s="12"/>
      <c r="D334" s="12"/>
      <c r="E334" s="12"/>
      <c r="F334" s="12"/>
    </row>
    <row r="335" spans="1:6" ht="12.5" customHeight="1">
      <c r="A335" s="12"/>
      <c r="B335" s="12"/>
      <c r="C335" s="12"/>
      <c r="D335" s="12"/>
      <c r="E335" s="12"/>
      <c r="F335" s="12"/>
    </row>
    <row r="336" spans="1:6" ht="12.5" customHeight="1">
      <c r="A336" s="12"/>
      <c r="B336" s="12"/>
      <c r="C336" s="12"/>
      <c r="D336" s="12"/>
      <c r="E336" s="12"/>
      <c r="F336" s="12"/>
    </row>
    <row r="337" spans="1:6" ht="12.5" customHeight="1">
      <c r="A337" s="12"/>
      <c r="B337" s="12"/>
      <c r="C337" s="12"/>
      <c r="D337" s="12"/>
      <c r="E337" s="12"/>
      <c r="F337" s="12"/>
    </row>
    <row r="338" spans="1:6" ht="12.5" customHeight="1">
      <c r="A338" s="12"/>
      <c r="B338" s="12"/>
      <c r="C338" s="12"/>
      <c r="D338" s="12"/>
      <c r="E338" s="12"/>
      <c r="F338" s="12"/>
    </row>
    <row r="339" spans="1:6" ht="12.5" customHeight="1">
      <c r="A339" s="12"/>
      <c r="B339" s="12"/>
      <c r="C339" s="12"/>
      <c r="D339" s="12"/>
      <c r="E339" s="12"/>
      <c r="F339" s="12"/>
    </row>
    <row r="340" spans="1:6" ht="12.5" customHeight="1">
      <c r="A340" s="12"/>
      <c r="B340" s="12"/>
      <c r="C340" s="12"/>
      <c r="D340" s="12"/>
      <c r="E340" s="12"/>
      <c r="F340" s="12"/>
    </row>
    <row r="341" spans="1:6" ht="12.5" customHeight="1">
      <c r="A341" s="12"/>
      <c r="B341" s="12"/>
      <c r="C341" s="12"/>
      <c r="D341" s="12"/>
      <c r="E341" s="12"/>
      <c r="F341" s="12"/>
    </row>
    <row r="342" spans="1:6" ht="12.5" customHeight="1">
      <c r="A342" s="12"/>
      <c r="B342" s="12"/>
      <c r="C342" s="12"/>
      <c r="D342" s="12"/>
      <c r="E342" s="12"/>
      <c r="F342" s="12"/>
    </row>
    <row r="343" spans="1:6" ht="12.5" customHeight="1">
      <c r="A343" s="12"/>
      <c r="B343" s="12"/>
      <c r="C343" s="12"/>
      <c r="D343" s="12"/>
      <c r="E343" s="12"/>
      <c r="F343" s="12"/>
    </row>
    <row r="344" spans="1:6" ht="12.5" customHeight="1">
      <c r="A344" s="12"/>
      <c r="B344" s="12"/>
      <c r="C344" s="12"/>
      <c r="D344" s="12"/>
      <c r="E344" s="12"/>
      <c r="F344" s="12"/>
    </row>
    <row r="345" spans="1:6" ht="12.5" customHeight="1">
      <c r="A345" s="12"/>
      <c r="B345" s="12"/>
      <c r="C345" s="12"/>
      <c r="D345" s="12"/>
      <c r="E345" s="12"/>
      <c r="F345" s="12"/>
    </row>
    <row r="346" spans="1:6" ht="12.5" customHeight="1">
      <c r="A346" s="12"/>
      <c r="B346" s="12"/>
      <c r="C346" s="12"/>
      <c r="D346" s="12"/>
      <c r="E346" s="12"/>
      <c r="F346" s="12"/>
    </row>
    <row r="347" spans="1:6" ht="12.5" customHeight="1">
      <c r="A347" s="12"/>
      <c r="B347" s="12"/>
      <c r="C347" s="12"/>
      <c r="D347" s="12"/>
      <c r="E347" s="12"/>
      <c r="F347" s="12"/>
    </row>
    <row r="348" spans="1:6" ht="12.5" customHeight="1">
      <c r="A348" s="12"/>
      <c r="B348" s="12"/>
      <c r="C348" s="12"/>
      <c r="D348" s="12"/>
      <c r="E348" s="12"/>
      <c r="F348" s="12"/>
    </row>
    <row r="349" spans="1:6" ht="12.5" customHeight="1">
      <c r="A349" s="12"/>
      <c r="B349" s="12"/>
      <c r="C349" s="12"/>
      <c r="D349" s="12"/>
      <c r="E349" s="12"/>
      <c r="F349" s="12"/>
    </row>
    <row r="350" spans="1:6" ht="12.5" customHeight="1">
      <c r="A350" s="12"/>
      <c r="B350" s="12"/>
      <c r="C350" s="12"/>
      <c r="D350" s="12"/>
      <c r="E350" s="12"/>
      <c r="F350" s="12"/>
    </row>
    <row r="351" spans="1:6" ht="12.5" customHeight="1">
      <c r="A351" s="12"/>
      <c r="B351" s="12"/>
      <c r="C351" s="12"/>
      <c r="D351" s="12"/>
      <c r="E351" s="12"/>
      <c r="F351" s="12"/>
    </row>
    <row r="352" spans="1:6" ht="12.5" customHeight="1">
      <c r="A352" s="12"/>
      <c r="B352" s="12"/>
      <c r="C352" s="12"/>
      <c r="D352" s="12"/>
      <c r="E352" s="12"/>
      <c r="F352" s="12"/>
    </row>
    <row r="353" spans="1:6" ht="12.5" customHeight="1">
      <c r="A353" s="12"/>
      <c r="B353" s="12"/>
      <c r="C353" s="12"/>
      <c r="D353" s="12"/>
      <c r="E353" s="12"/>
      <c r="F353" s="12"/>
    </row>
    <row r="354" spans="1:6" ht="12.5" customHeight="1">
      <c r="A354" s="12"/>
      <c r="B354" s="12"/>
      <c r="C354" s="12"/>
      <c r="D354" s="12"/>
      <c r="E354" s="12"/>
      <c r="F354" s="12"/>
    </row>
    <row r="355" spans="1:6" ht="12.5" customHeight="1">
      <c r="A355" s="12"/>
      <c r="B355" s="12"/>
      <c r="C355" s="12"/>
      <c r="D355" s="12"/>
      <c r="E355" s="12"/>
      <c r="F355" s="12"/>
    </row>
    <row r="356" spans="1:6" ht="12.5" customHeight="1">
      <c r="A356" s="12"/>
      <c r="B356" s="12"/>
      <c r="C356" s="12"/>
      <c r="D356" s="12"/>
      <c r="E356" s="12"/>
      <c r="F356" s="12"/>
    </row>
    <row r="357" spans="1:6" ht="12.5" customHeight="1">
      <c r="A357" s="12"/>
      <c r="B357" s="12"/>
      <c r="C357" s="12"/>
      <c r="D357" s="12"/>
      <c r="E357" s="12"/>
      <c r="F357" s="12"/>
    </row>
    <row r="358" spans="1:6" ht="12.5" customHeight="1">
      <c r="A358" s="12"/>
      <c r="B358" s="12"/>
      <c r="C358" s="12"/>
      <c r="D358" s="12"/>
      <c r="E358" s="12"/>
      <c r="F358" s="12"/>
    </row>
    <row r="359" spans="1:6" ht="12.5" customHeight="1">
      <c r="A359" s="12"/>
      <c r="B359" s="12"/>
      <c r="C359" s="12"/>
      <c r="D359" s="12"/>
      <c r="E359" s="12"/>
      <c r="F359" s="12"/>
    </row>
    <row r="360" spans="1:6" ht="12.5" customHeight="1">
      <c r="A360" s="12"/>
      <c r="B360" s="12"/>
      <c r="C360" s="12"/>
      <c r="D360" s="12"/>
      <c r="E360" s="12"/>
      <c r="F360" s="12"/>
    </row>
    <row r="361" spans="1:6" ht="12.5" customHeight="1">
      <c r="A361" s="12"/>
      <c r="B361" s="12"/>
      <c r="C361" s="12"/>
      <c r="D361" s="12"/>
      <c r="E361" s="12"/>
      <c r="F361" s="12"/>
    </row>
    <row r="362" spans="1:6" ht="12.5" customHeight="1">
      <c r="A362" s="12"/>
      <c r="B362" s="12"/>
      <c r="C362" s="12"/>
      <c r="D362" s="12"/>
      <c r="E362" s="12"/>
      <c r="F362" s="12"/>
    </row>
    <row r="363" spans="1:6" ht="12.5" customHeight="1">
      <c r="A363" s="12"/>
      <c r="B363" s="12"/>
      <c r="C363" s="12"/>
      <c r="D363" s="12"/>
      <c r="E363" s="12"/>
      <c r="F363" s="12"/>
    </row>
    <row r="364" spans="1:6" ht="12.5" customHeight="1">
      <c r="A364" s="12"/>
      <c r="B364" s="12"/>
      <c r="C364" s="12"/>
      <c r="D364" s="12"/>
      <c r="E364" s="12"/>
      <c r="F364" s="12"/>
    </row>
    <row r="365" spans="1:6" ht="12.5" customHeight="1">
      <c r="A365" s="12"/>
      <c r="B365" s="12"/>
      <c r="C365" s="12"/>
      <c r="D365" s="12"/>
      <c r="E365" s="12"/>
      <c r="F365" s="12"/>
    </row>
    <row r="366" spans="1:6" ht="12.5" customHeight="1">
      <c r="A366" s="12"/>
      <c r="B366" s="12"/>
      <c r="C366" s="12"/>
      <c r="D366" s="12"/>
      <c r="E366" s="12"/>
      <c r="F366" s="12"/>
    </row>
    <row r="367" spans="1:6" ht="12.5" customHeight="1">
      <c r="A367" s="12"/>
      <c r="B367" s="12"/>
      <c r="C367" s="12"/>
      <c r="D367" s="12"/>
      <c r="E367" s="12"/>
      <c r="F367" s="12"/>
    </row>
    <row r="368" spans="1:6" ht="12.5" customHeight="1">
      <c r="A368" s="12"/>
      <c r="B368" s="12"/>
      <c r="C368" s="12"/>
      <c r="D368" s="12"/>
      <c r="E368" s="12"/>
      <c r="F368" s="12"/>
    </row>
    <row r="369" spans="1:6" ht="12.5" customHeight="1">
      <c r="A369" s="12"/>
      <c r="B369" s="12"/>
      <c r="C369" s="12"/>
      <c r="D369" s="12"/>
      <c r="E369" s="12"/>
      <c r="F369" s="12"/>
    </row>
    <row r="370" spans="1:6" ht="12.5" customHeight="1">
      <c r="A370" s="12"/>
      <c r="B370" s="12"/>
      <c r="C370" s="12"/>
      <c r="D370" s="12"/>
      <c r="E370" s="12"/>
      <c r="F370" s="12"/>
    </row>
    <row r="371" spans="1:6" ht="12.5" customHeight="1">
      <c r="A371" s="12"/>
      <c r="B371" s="12"/>
      <c r="C371" s="12"/>
      <c r="D371" s="12"/>
      <c r="E371" s="12"/>
      <c r="F371" s="12"/>
    </row>
    <row r="372" spans="1:6" ht="12.5" customHeight="1">
      <c r="A372" s="12"/>
      <c r="B372" s="12"/>
      <c r="C372" s="12"/>
      <c r="D372" s="12"/>
      <c r="E372" s="12"/>
      <c r="F372" s="12"/>
    </row>
    <row r="373" spans="1:6" ht="12.5" customHeight="1">
      <c r="A373" s="12"/>
      <c r="B373" s="12"/>
      <c r="C373" s="12"/>
      <c r="D373" s="12"/>
      <c r="E373" s="12"/>
      <c r="F373" s="12"/>
    </row>
    <row r="374" spans="1:6" ht="12.5" customHeight="1">
      <c r="A374" s="12"/>
      <c r="B374" s="12"/>
      <c r="C374" s="12"/>
      <c r="D374" s="12"/>
      <c r="E374" s="12"/>
      <c r="F374" s="12"/>
    </row>
    <row r="375" spans="1:6" ht="12.5" customHeight="1">
      <c r="A375" s="12"/>
      <c r="B375" s="12"/>
      <c r="C375" s="12"/>
      <c r="D375" s="12"/>
      <c r="E375" s="12"/>
      <c r="F375" s="12"/>
    </row>
    <row r="376" spans="1:6" ht="12.5" customHeight="1">
      <c r="A376" s="12"/>
      <c r="B376" s="12"/>
      <c r="C376" s="12"/>
      <c r="D376" s="12"/>
      <c r="E376" s="12"/>
      <c r="F376" s="12"/>
    </row>
    <row r="377" spans="1:6" ht="12.5" customHeight="1">
      <c r="A377" s="12"/>
      <c r="B377" s="12"/>
      <c r="C377" s="12"/>
      <c r="D377" s="12"/>
      <c r="E377" s="12"/>
      <c r="F377" s="12"/>
    </row>
    <row r="378" spans="1:6" ht="12.5" customHeight="1">
      <c r="A378" s="12"/>
      <c r="B378" s="12"/>
      <c r="C378" s="12"/>
      <c r="D378" s="12"/>
      <c r="E378" s="12"/>
      <c r="F378" s="12"/>
    </row>
    <row r="379" spans="1:6" ht="12.5" customHeight="1">
      <c r="A379" s="12"/>
      <c r="B379" s="12"/>
      <c r="C379" s="12"/>
      <c r="D379" s="12"/>
      <c r="E379" s="12"/>
      <c r="F379" s="12"/>
    </row>
    <row r="380" spans="1:6" ht="12.5" customHeight="1">
      <c r="A380" s="12"/>
      <c r="B380" s="12"/>
      <c r="C380" s="12"/>
      <c r="D380" s="12"/>
      <c r="E380" s="12"/>
      <c r="F380" s="12"/>
    </row>
    <row r="381" spans="1:6" ht="12.5" customHeight="1">
      <c r="A381" s="12"/>
      <c r="B381" s="12"/>
      <c r="C381" s="12"/>
      <c r="D381" s="12"/>
      <c r="E381" s="12"/>
      <c r="F381" s="12"/>
    </row>
    <row r="382" spans="1:6" ht="12.5" customHeight="1">
      <c r="A382" s="12"/>
      <c r="B382" s="12"/>
      <c r="C382" s="12"/>
      <c r="D382" s="12"/>
      <c r="E382" s="12"/>
      <c r="F382" s="12"/>
    </row>
    <row r="383" spans="1:6" ht="12.5" customHeight="1">
      <c r="A383" s="12"/>
      <c r="B383" s="12"/>
      <c r="C383" s="12"/>
      <c r="D383" s="12"/>
      <c r="E383" s="12"/>
      <c r="F383" s="12"/>
    </row>
    <row r="384" spans="1:6" ht="12.5" customHeight="1">
      <c r="A384" s="12"/>
      <c r="B384" s="12"/>
      <c r="C384" s="12"/>
      <c r="D384" s="12"/>
      <c r="E384" s="12"/>
      <c r="F384" s="12"/>
    </row>
    <row r="385" spans="1:6" ht="12.5" customHeight="1">
      <c r="A385" s="12"/>
      <c r="B385" s="12"/>
      <c r="C385" s="12"/>
      <c r="D385" s="12"/>
      <c r="E385" s="12"/>
      <c r="F385" s="12"/>
    </row>
    <row r="386" spans="1:6" ht="12.5" customHeight="1">
      <c r="A386" s="12"/>
      <c r="B386" s="12"/>
      <c r="C386" s="12"/>
      <c r="D386" s="12"/>
      <c r="E386" s="12"/>
      <c r="F386" s="12"/>
    </row>
    <row r="387" spans="1:6" ht="12.5" customHeight="1">
      <c r="A387" s="12"/>
      <c r="B387" s="12"/>
      <c r="C387" s="12"/>
      <c r="D387" s="12"/>
      <c r="E387" s="12"/>
      <c r="F387" s="12"/>
    </row>
    <row r="388" spans="1:6" ht="12.5" customHeight="1">
      <c r="A388" s="12"/>
      <c r="B388" s="12"/>
      <c r="C388" s="12"/>
      <c r="D388" s="12"/>
      <c r="E388" s="12"/>
      <c r="F388" s="12"/>
    </row>
    <row r="389" spans="1:6" ht="12.5" customHeight="1">
      <c r="A389" s="12"/>
      <c r="B389" s="12"/>
      <c r="C389" s="12"/>
      <c r="D389" s="12"/>
      <c r="E389" s="12"/>
      <c r="F389" s="12"/>
    </row>
    <row r="390" spans="1:6" ht="12.5" customHeight="1">
      <c r="A390" s="12"/>
      <c r="B390" s="12"/>
      <c r="C390" s="12"/>
      <c r="D390" s="12"/>
      <c r="E390" s="12"/>
      <c r="F390" s="12"/>
    </row>
    <row r="391" spans="1:6" ht="12.5" customHeight="1">
      <c r="A391" s="12"/>
      <c r="B391" s="12"/>
      <c r="C391" s="12"/>
      <c r="D391" s="12"/>
      <c r="E391" s="12"/>
      <c r="F391" s="12"/>
    </row>
    <row r="392" spans="1:6" ht="12.5" customHeight="1">
      <c r="A392" s="12"/>
      <c r="B392" s="12"/>
      <c r="C392" s="12"/>
      <c r="D392" s="12"/>
      <c r="E392" s="12"/>
      <c r="F392" s="12"/>
    </row>
    <row r="393" spans="1:6" ht="12.5" customHeight="1">
      <c r="A393" s="12"/>
      <c r="B393" s="12"/>
      <c r="C393" s="12"/>
      <c r="D393" s="12"/>
      <c r="E393" s="12"/>
      <c r="F393" s="12"/>
    </row>
    <row r="394" spans="1:6" ht="12.5" customHeight="1">
      <c r="A394" s="12"/>
      <c r="B394" s="12"/>
      <c r="C394" s="12"/>
      <c r="D394" s="12"/>
      <c r="E394" s="12"/>
      <c r="F394" s="12"/>
    </row>
    <row r="395" spans="1:6" ht="12.5" customHeight="1">
      <c r="A395" s="12"/>
      <c r="B395" s="12"/>
      <c r="C395" s="12"/>
      <c r="D395" s="12"/>
      <c r="E395" s="12"/>
      <c r="F395" s="12"/>
    </row>
    <row r="396" spans="1:6" ht="12.5" customHeight="1">
      <c r="A396" s="12"/>
      <c r="B396" s="12"/>
      <c r="C396" s="12"/>
      <c r="D396" s="12"/>
      <c r="E396" s="12"/>
      <c r="F396" s="12"/>
    </row>
    <row r="397" spans="1:6" ht="12.5" customHeight="1">
      <c r="A397" s="12"/>
      <c r="B397" s="12"/>
      <c r="C397" s="12"/>
      <c r="D397" s="12"/>
      <c r="E397" s="12"/>
      <c r="F397" s="12"/>
    </row>
    <row r="398" spans="1:6" ht="12.5" customHeight="1">
      <c r="A398" s="12"/>
      <c r="B398" s="12"/>
      <c r="C398" s="12"/>
      <c r="D398" s="12"/>
      <c r="E398" s="12"/>
      <c r="F398" s="12"/>
    </row>
    <row r="399" spans="1:6" ht="12.5" customHeight="1">
      <c r="A399" s="12"/>
      <c r="B399" s="12"/>
      <c r="C399" s="12"/>
      <c r="D399" s="12"/>
      <c r="E399" s="12"/>
      <c r="F399" s="12"/>
    </row>
    <row r="400" spans="1:6" ht="12.5" customHeight="1">
      <c r="A400" s="12"/>
      <c r="B400" s="12"/>
      <c r="C400" s="12"/>
      <c r="D400" s="12"/>
      <c r="E400" s="12"/>
      <c r="F400" s="12"/>
    </row>
    <row r="401" spans="1:6" ht="12.5" customHeight="1">
      <c r="A401" s="12"/>
      <c r="B401" s="12"/>
      <c r="C401" s="12"/>
      <c r="D401" s="12"/>
      <c r="E401" s="12"/>
      <c r="F401" s="12"/>
    </row>
    <row r="402" spans="1:6" ht="12.5" customHeight="1">
      <c r="A402" s="12"/>
      <c r="B402" s="12"/>
      <c r="C402" s="12"/>
      <c r="D402" s="12"/>
      <c r="E402" s="12"/>
      <c r="F402" s="12"/>
    </row>
    <row r="403" spans="1:6" ht="12.5" customHeight="1">
      <c r="A403" s="12"/>
      <c r="B403" s="12"/>
      <c r="C403" s="12"/>
      <c r="D403" s="12"/>
      <c r="E403" s="12"/>
      <c r="F403" s="12"/>
    </row>
    <row r="404" spans="1:6" ht="12.5" customHeight="1">
      <c r="A404" s="12"/>
      <c r="B404" s="12"/>
      <c r="C404" s="12"/>
      <c r="D404" s="12"/>
      <c r="E404" s="12"/>
      <c r="F404" s="12"/>
    </row>
    <row r="405" spans="1:6" ht="12.5" customHeight="1">
      <c r="A405" s="12"/>
      <c r="B405" s="12"/>
      <c r="C405" s="12"/>
      <c r="D405" s="12"/>
      <c r="E405" s="12"/>
      <c r="F405" s="12"/>
    </row>
    <row r="406" spans="1:6" ht="12.5" customHeight="1">
      <c r="A406" s="12"/>
      <c r="B406" s="12"/>
      <c r="C406" s="12"/>
      <c r="D406" s="12"/>
      <c r="E406" s="12"/>
      <c r="F406" s="12"/>
    </row>
    <row r="407" spans="1:6" ht="12.5" customHeight="1">
      <c r="A407" s="12"/>
      <c r="B407" s="12"/>
      <c r="C407" s="12"/>
      <c r="D407" s="12"/>
      <c r="E407" s="12"/>
      <c r="F407" s="12"/>
    </row>
    <row r="408" spans="1:6" ht="12.5" customHeight="1">
      <c r="A408" s="12"/>
      <c r="B408" s="12"/>
      <c r="C408" s="12"/>
      <c r="D408" s="12"/>
      <c r="E408" s="12"/>
      <c r="F408" s="12"/>
    </row>
    <row r="409" spans="1:6" ht="12.5" customHeight="1">
      <c r="A409" s="12"/>
      <c r="B409" s="12"/>
      <c r="C409" s="12"/>
      <c r="D409" s="12"/>
      <c r="E409" s="12"/>
      <c r="F409" s="12"/>
    </row>
    <row r="410" spans="1:6" ht="12.5" customHeight="1">
      <c r="A410" s="12"/>
      <c r="B410" s="12"/>
      <c r="C410" s="12"/>
      <c r="D410" s="12"/>
      <c r="E410" s="12"/>
      <c r="F410" s="12"/>
    </row>
    <row r="411" spans="1:6" ht="12.5" customHeight="1">
      <c r="A411" s="12"/>
      <c r="B411" s="12"/>
      <c r="C411" s="12"/>
      <c r="D411" s="12"/>
      <c r="E411" s="12"/>
      <c r="F411" s="12"/>
    </row>
    <row r="412" spans="1:6" ht="12.5" customHeight="1">
      <c r="A412" s="12"/>
      <c r="B412" s="12"/>
      <c r="C412" s="12"/>
      <c r="D412" s="12"/>
      <c r="E412" s="12"/>
      <c r="F412" s="12"/>
    </row>
    <row r="413" spans="1:6" ht="12.5" customHeight="1">
      <c r="A413" s="12"/>
      <c r="B413" s="12"/>
      <c r="C413" s="12"/>
      <c r="D413" s="12"/>
      <c r="E413" s="12"/>
      <c r="F413" s="12"/>
    </row>
    <row r="414" spans="1:6" ht="12.5" customHeight="1">
      <c r="A414" s="12"/>
      <c r="B414" s="12"/>
      <c r="C414" s="12"/>
      <c r="D414" s="12"/>
      <c r="E414" s="12"/>
      <c r="F414" s="12"/>
    </row>
    <row r="415" spans="1:6" ht="12.5" customHeight="1">
      <c r="A415" s="12"/>
      <c r="B415" s="12"/>
      <c r="C415" s="12"/>
      <c r="D415" s="12"/>
      <c r="E415" s="12"/>
      <c r="F415" s="12"/>
    </row>
    <row r="416" spans="1:6" ht="12.5" customHeight="1">
      <c r="A416" s="12"/>
      <c r="B416" s="12"/>
      <c r="C416" s="12"/>
      <c r="D416" s="12"/>
      <c r="E416" s="12"/>
      <c r="F416" s="12"/>
    </row>
    <row r="417" spans="1:6" ht="12.5" customHeight="1">
      <c r="A417" s="12"/>
      <c r="B417" s="12"/>
      <c r="C417" s="12"/>
      <c r="D417" s="12"/>
      <c r="E417" s="12"/>
      <c r="F417" s="12"/>
    </row>
    <row r="418" spans="1:6" ht="12.5" customHeight="1">
      <c r="A418" s="12"/>
      <c r="B418" s="12"/>
      <c r="C418" s="12"/>
      <c r="D418" s="12"/>
      <c r="E418" s="12"/>
      <c r="F418" s="12"/>
    </row>
    <row r="419" spans="1:6" ht="12.5" customHeight="1">
      <c r="A419" s="12"/>
      <c r="B419" s="12"/>
      <c r="C419" s="12"/>
      <c r="D419" s="12"/>
      <c r="E419" s="12"/>
      <c r="F419" s="12"/>
    </row>
    <row r="420" spans="1:6" ht="12.5" customHeight="1">
      <c r="A420" s="12"/>
      <c r="B420" s="12"/>
      <c r="C420" s="12"/>
      <c r="D420" s="12"/>
      <c r="E420" s="12"/>
      <c r="F420" s="12"/>
    </row>
    <row r="421" spans="1:6" ht="12.5" customHeight="1">
      <c r="A421" s="12"/>
      <c r="B421" s="12"/>
      <c r="C421" s="12"/>
      <c r="D421" s="12"/>
      <c r="E421" s="12"/>
      <c r="F421" s="12"/>
    </row>
    <row r="422" spans="1:6" ht="12.5" customHeight="1">
      <c r="A422" s="12"/>
      <c r="B422" s="12"/>
      <c r="C422" s="12"/>
      <c r="D422" s="12"/>
      <c r="E422" s="12"/>
      <c r="F422" s="12"/>
    </row>
    <row r="423" spans="1:6" ht="12.5" customHeight="1">
      <c r="A423" s="12"/>
      <c r="B423" s="12"/>
      <c r="C423" s="12"/>
      <c r="D423" s="12"/>
      <c r="E423" s="12"/>
      <c r="F423" s="12"/>
    </row>
    <row r="424" spans="1:6" ht="12.5" customHeight="1">
      <c r="A424" s="12"/>
      <c r="B424" s="12"/>
      <c r="C424" s="12"/>
      <c r="D424" s="12"/>
      <c r="E424" s="12"/>
      <c r="F424" s="12"/>
    </row>
    <row r="425" spans="1:6" ht="12.5" customHeight="1">
      <c r="A425" s="12"/>
      <c r="B425" s="12"/>
      <c r="C425" s="12"/>
      <c r="D425" s="12"/>
      <c r="E425" s="12"/>
      <c r="F425" s="12"/>
    </row>
    <row r="426" spans="1:6" ht="12.5" customHeight="1">
      <c r="A426" s="12"/>
      <c r="B426" s="12"/>
      <c r="C426" s="12"/>
      <c r="D426" s="12"/>
      <c r="E426" s="12"/>
      <c r="F426" s="12"/>
    </row>
    <row r="427" spans="1:6" ht="12.5" customHeight="1">
      <c r="A427" s="12"/>
      <c r="B427" s="12"/>
      <c r="C427" s="12"/>
      <c r="D427" s="12"/>
      <c r="E427" s="12"/>
      <c r="F427" s="12"/>
    </row>
    <row r="428" spans="1:6" ht="12.5" customHeight="1">
      <c r="A428" s="12"/>
      <c r="B428" s="12"/>
      <c r="C428" s="12"/>
      <c r="D428" s="12"/>
      <c r="E428" s="12"/>
      <c r="F428" s="12"/>
    </row>
    <row r="429" spans="1:6" ht="12.5" customHeight="1">
      <c r="A429" s="12"/>
      <c r="B429" s="12"/>
      <c r="C429" s="12"/>
      <c r="D429" s="12"/>
      <c r="E429" s="12"/>
      <c r="F429" s="12"/>
    </row>
    <row r="430" spans="1:6" ht="12.5" customHeight="1">
      <c r="A430" s="12"/>
      <c r="B430" s="12"/>
      <c r="C430" s="12"/>
      <c r="D430" s="12"/>
      <c r="E430" s="12"/>
      <c r="F430" s="12"/>
    </row>
    <row r="431" spans="1:6" ht="12.5" customHeight="1">
      <c r="A431" s="12"/>
      <c r="B431" s="12"/>
      <c r="C431" s="12"/>
      <c r="D431" s="12"/>
      <c r="E431" s="12"/>
      <c r="F431" s="12"/>
    </row>
    <row r="432" spans="1:6" ht="12.5" customHeight="1">
      <c r="A432" s="12"/>
      <c r="B432" s="12"/>
      <c r="C432" s="12"/>
      <c r="D432" s="12"/>
      <c r="E432" s="12"/>
      <c r="F432" s="12"/>
    </row>
    <row r="433" spans="1:6" ht="12.5" customHeight="1">
      <c r="A433" s="12"/>
      <c r="B433" s="12"/>
      <c r="C433" s="12"/>
      <c r="D433" s="12"/>
      <c r="E433" s="12"/>
      <c r="F433" s="12"/>
    </row>
    <row r="434" spans="1:6" ht="12.5" customHeight="1">
      <c r="A434" s="12"/>
      <c r="B434" s="12"/>
      <c r="C434" s="12"/>
      <c r="D434" s="12"/>
      <c r="E434" s="12"/>
      <c r="F434" s="12"/>
    </row>
    <row r="435" spans="1:6" ht="12.5" customHeight="1">
      <c r="A435" s="12"/>
      <c r="B435" s="12"/>
      <c r="C435" s="12"/>
      <c r="D435" s="12"/>
      <c r="E435" s="12"/>
      <c r="F435" s="12"/>
    </row>
    <row r="436" spans="1:6" ht="12.5" customHeight="1">
      <c r="A436" s="12"/>
      <c r="B436" s="12"/>
      <c r="C436" s="12"/>
      <c r="D436" s="12"/>
      <c r="E436" s="12"/>
      <c r="F436" s="12"/>
    </row>
    <row r="437" spans="1:6" ht="12.5" customHeight="1">
      <c r="A437" s="12"/>
      <c r="B437" s="12"/>
      <c r="C437" s="12"/>
      <c r="D437" s="12"/>
      <c r="E437" s="12"/>
      <c r="F437" s="12"/>
    </row>
    <row r="438" spans="1:6" ht="12.5" customHeight="1">
      <c r="A438" s="12"/>
      <c r="B438" s="12"/>
      <c r="C438" s="12"/>
      <c r="D438" s="12"/>
      <c r="E438" s="12"/>
      <c r="F438" s="12"/>
    </row>
    <row r="439" spans="1:6" ht="12.5" customHeight="1">
      <c r="A439" s="12"/>
      <c r="B439" s="12"/>
      <c r="C439" s="12"/>
      <c r="D439" s="12"/>
      <c r="E439" s="12"/>
      <c r="F439" s="12"/>
    </row>
    <row r="440" spans="1:6" ht="12.5" customHeight="1">
      <c r="A440" s="12"/>
      <c r="B440" s="12"/>
      <c r="C440" s="12"/>
      <c r="D440" s="12"/>
      <c r="E440" s="12"/>
      <c r="F440" s="12"/>
    </row>
    <row r="441" spans="1:6" ht="12.5" customHeight="1">
      <c r="A441" s="12"/>
      <c r="B441" s="12"/>
      <c r="C441" s="12"/>
      <c r="D441" s="12"/>
      <c r="E441" s="12"/>
      <c r="F441" s="12"/>
    </row>
    <row r="442" spans="1:6" ht="12.5" customHeight="1">
      <c r="A442" s="12"/>
      <c r="B442" s="12"/>
      <c r="C442" s="12"/>
      <c r="D442" s="12"/>
      <c r="E442" s="12"/>
      <c r="F442" s="12"/>
    </row>
    <row r="443" spans="1:6" ht="12.5" customHeight="1">
      <c r="A443" s="12"/>
      <c r="B443" s="12"/>
      <c r="C443" s="12"/>
      <c r="D443" s="12"/>
      <c r="E443" s="12"/>
      <c r="F443" s="12"/>
    </row>
    <row r="444" spans="1:6" ht="12.5" customHeight="1">
      <c r="A444" s="12"/>
      <c r="B444" s="12"/>
      <c r="C444" s="12"/>
      <c r="D444" s="12"/>
      <c r="E444" s="12"/>
      <c r="F444" s="12"/>
    </row>
    <row r="445" spans="1:6" ht="12.5" customHeight="1">
      <c r="A445" s="12"/>
      <c r="B445" s="12"/>
      <c r="C445" s="12"/>
      <c r="D445" s="12"/>
      <c r="E445" s="12"/>
      <c r="F445" s="12"/>
    </row>
    <row r="446" spans="1:6" ht="12.5" customHeight="1">
      <c r="A446" s="12"/>
      <c r="B446" s="12"/>
      <c r="C446" s="12"/>
      <c r="D446" s="12"/>
      <c r="E446" s="12"/>
      <c r="F446" s="12"/>
    </row>
    <row r="447" spans="1:6" ht="12.5" customHeight="1">
      <c r="A447" s="12"/>
      <c r="B447" s="12"/>
      <c r="C447" s="12"/>
      <c r="D447" s="12"/>
      <c r="E447" s="12"/>
      <c r="F447" s="12"/>
    </row>
    <row r="448" spans="1:6" ht="12.5" customHeight="1">
      <c r="A448" s="12"/>
      <c r="B448" s="12"/>
      <c r="C448" s="12"/>
      <c r="D448" s="12"/>
      <c r="E448" s="12"/>
      <c r="F448" s="12"/>
    </row>
    <row r="449" spans="1:6" ht="12.5" customHeight="1">
      <c r="A449" s="12"/>
      <c r="B449" s="12"/>
      <c r="C449" s="12"/>
      <c r="D449" s="12"/>
      <c r="E449" s="12"/>
      <c r="F449" s="12"/>
    </row>
    <row r="450" spans="1:6" ht="12.5" customHeight="1">
      <c r="A450" s="12"/>
      <c r="B450" s="12"/>
      <c r="C450" s="12"/>
      <c r="D450" s="12"/>
      <c r="E450" s="12"/>
      <c r="F450" s="12"/>
    </row>
    <row r="451" spans="1:6" ht="12.5" customHeight="1">
      <c r="A451" s="12"/>
      <c r="B451" s="12"/>
      <c r="C451" s="12"/>
      <c r="D451" s="12"/>
      <c r="E451" s="12"/>
      <c r="F451" s="12"/>
    </row>
    <row r="452" spans="1:6" ht="12.5" customHeight="1">
      <c r="A452" s="12"/>
      <c r="B452" s="12"/>
      <c r="C452" s="12"/>
      <c r="D452" s="12"/>
      <c r="E452" s="12"/>
      <c r="F452" s="12"/>
    </row>
    <row r="453" spans="1:6" ht="12.5" customHeight="1">
      <c r="A453" s="12"/>
      <c r="B453" s="12"/>
      <c r="C453" s="12"/>
      <c r="D453" s="12"/>
      <c r="E453" s="12"/>
      <c r="F453" s="12"/>
    </row>
    <row r="454" spans="1:6" ht="12.5" customHeight="1">
      <c r="A454" s="12"/>
      <c r="B454" s="12"/>
      <c r="C454" s="12"/>
      <c r="D454" s="12"/>
      <c r="E454" s="12"/>
      <c r="F454" s="12"/>
    </row>
    <row r="455" spans="1:6" ht="12.5" customHeight="1">
      <c r="A455" s="12"/>
      <c r="B455" s="12"/>
      <c r="C455" s="12"/>
      <c r="D455" s="12"/>
      <c r="E455" s="12"/>
      <c r="F455" s="12"/>
    </row>
    <row r="456" spans="1:6" ht="12.5" customHeight="1">
      <c r="A456" s="12"/>
      <c r="B456" s="12"/>
      <c r="C456" s="12"/>
      <c r="D456" s="12"/>
      <c r="E456" s="12"/>
      <c r="F456" s="12"/>
    </row>
    <row r="457" spans="1:6" ht="12.5" customHeight="1">
      <c r="A457" s="12"/>
      <c r="B457" s="12"/>
      <c r="C457" s="12"/>
      <c r="D457" s="12"/>
      <c r="E457" s="12"/>
      <c r="F457" s="12"/>
    </row>
    <row r="458" spans="1:6" ht="12.5" customHeight="1">
      <c r="A458" s="12"/>
      <c r="B458" s="12"/>
      <c r="C458" s="12"/>
      <c r="D458" s="12"/>
      <c r="E458" s="12"/>
      <c r="F458" s="12"/>
    </row>
    <row r="459" spans="1:6" ht="12.5" customHeight="1">
      <c r="A459" s="12"/>
      <c r="B459" s="12"/>
      <c r="C459" s="12"/>
      <c r="D459" s="12"/>
      <c r="E459" s="12"/>
      <c r="F459" s="12"/>
    </row>
    <row r="460" spans="1:6" ht="12.5" customHeight="1">
      <c r="A460" s="12"/>
      <c r="B460" s="12"/>
      <c r="C460" s="12"/>
      <c r="D460" s="12"/>
      <c r="E460" s="12"/>
      <c r="F460" s="12"/>
    </row>
    <row r="461" spans="1:6" ht="12.5" customHeight="1">
      <c r="A461" s="12"/>
      <c r="B461" s="12"/>
      <c r="C461" s="12"/>
      <c r="D461" s="12"/>
      <c r="E461" s="12"/>
      <c r="F461" s="12"/>
    </row>
    <row r="462" spans="1:6" ht="12.5" customHeight="1">
      <c r="A462" s="12"/>
      <c r="B462" s="12"/>
      <c r="C462" s="12"/>
      <c r="D462" s="12"/>
      <c r="E462" s="12"/>
      <c r="F462" s="12"/>
    </row>
    <row r="463" spans="1:6" ht="12.5" customHeight="1">
      <c r="A463" s="12"/>
      <c r="B463" s="12"/>
      <c r="C463" s="12"/>
      <c r="D463" s="12"/>
      <c r="E463" s="12"/>
      <c r="F463" s="12"/>
    </row>
    <row r="464" spans="1:6" ht="12.5" customHeight="1">
      <c r="A464" s="12"/>
      <c r="B464" s="12"/>
      <c r="C464" s="12"/>
      <c r="D464" s="12"/>
      <c r="E464" s="12"/>
      <c r="F464" s="12"/>
    </row>
    <row r="465" spans="1:6" ht="12.5" customHeight="1">
      <c r="A465" s="12"/>
      <c r="B465" s="12"/>
      <c r="C465" s="12"/>
      <c r="D465" s="12"/>
      <c r="E465" s="12"/>
      <c r="F465" s="12"/>
    </row>
    <row r="466" spans="1:6" ht="12.5" customHeight="1">
      <c r="A466" s="12"/>
      <c r="B466" s="12"/>
      <c r="C466" s="12"/>
      <c r="D466" s="12"/>
      <c r="E466" s="12"/>
      <c r="F466" s="12"/>
    </row>
    <row r="467" spans="1:6" ht="12.5" customHeight="1">
      <c r="A467" s="12"/>
      <c r="B467" s="12"/>
      <c r="C467" s="12"/>
      <c r="D467" s="12"/>
      <c r="E467" s="12"/>
      <c r="F467" s="12"/>
    </row>
    <row r="468" spans="1:6" ht="12.5" customHeight="1">
      <c r="A468" s="12"/>
      <c r="B468" s="12"/>
      <c r="C468" s="12"/>
      <c r="D468" s="12"/>
      <c r="E468" s="12"/>
      <c r="F468" s="12"/>
    </row>
    <row r="469" spans="1:6" ht="12.5" customHeight="1">
      <c r="A469" s="12"/>
      <c r="B469" s="12"/>
      <c r="C469" s="12"/>
      <c r="D469" s="12"/>
      <c r="E469" s="12"/>
      <c r="F469" s="12"/>
    </row>
    <row r="470" spans="1:6" ht="12.5" customHeight="1">
      <c r="A470" s="12"/>
      <c r="B470" s="12"/>
      <c r="C470" s="12"/>
      <c r="D470" s="12"/>
      <c r="E470" s="12"/>
      <c r="F470" s="12"/>
    </row>
    <row r="471" spans="1:6" ht="12.5" customHeight="1">
      <c r="A471" s="12"/>
      <c r="B471" s="12"/>
      <c r="C471" s="12"/>
      <c r="D471" s="12"/>
      <c r="E471" s="12"/>
      <c r="F471" s="12"/>
    </row>
    <row r="472" spans="1:6" ht="12.5" customHeight="1">
      <c r="A472" s="12"/>
      <c r="B472" s="12"/>
      <c r="C472" s="12"/>
      <c r="D472" s="12"/>
      <c r="E472" s="12"/>
      <c r="F472" s="12"/>
    </row>
    <row r="473" spans="1:6" ht="12.5" customHeight="1">
      <c r="A473" s="12"/>
      <c r="B473" s="12"/>
      <c r="C473" s="12"/>
      <c r="D473" s="12"/>
      <c r="E473" s="12"/>
      <c r="F473" s="12"/>
    </row>
    <row r="474" spans="1:6" ht="12.5" customHeight="1">
      <c r="A474" s="12"/>
      <c r="B474" s="12"/>
      <c r="C474" s="12"/>
      <c r="D474" s="12"/>
      <c r="E474" s="12"/>
      <c r="F474" s="12"/>
    </row>
    <row r="475" spans="1:6" ht="12.5" customHeight="1">
      <c r="A475" s="12"/>
      <c r="B475" s="12"/>
      <c r="C475" s="12"/>
      <c r="D475" s="12"/>
      <c r="E475" s="12"/>
      <c r="F475" s="12"/>
    </row>
    <row r="476" spans="1:6" ht="12.5" customHeight="1">
      <c r="A476" s="12"/>
      <c r="B476" s="12"/>
      <c r="C476" s="12"/>
      <c r="D476" s="12"/>
      <c r="E476" s="12"/>
      <c r="F476" s="12"/>
    </row>
    <row r="477" spans="1:6" ht="12.5" customHeight="1">
      <c r="A477" s="12"/>
      <c r="B477" s="12"/>
      <c r="C477" s="12"/>
      <c r="D477" s="12"/>
      <c r="E477" s="12"/>
      <c r="F477" s="12"/>
    </row>
    <row r="478" spans="1:6" ht="12.5" customHeight="1">
      <c r="A478" s="12"/>
      <c r="B478" s="12"/>
      <c r="C478" s="12"/>
      <c r="D478" s="12"/>
      <c r="E478" s="12"/>
      <c r="F478" s="12"/>
    </row>
    <row r="479" spans="1:6" ht="12.5" customHeight="1">
      <c r="A479" s="12"/>
      <c r="B479" s="12"/>
      <c r="C479" s="12"/>
      <c r="D479" s="12"/>
      <c r="E479" s="12"/>
      <c r="F479" s="12"/>
    </row>
    <row r="480" spans="1:6" ht="12.5" customHeight="1">
      <c r="A480" s="12"/>
      <c r="B480" s="12"/>
      <c r="C480" s="12"/>
      <c r="D480" s="12"/>
      <c r="E480" s="12"/>
      <c r="F480" s="12"/>
    </row>
    <row r="481" spans="1:6" ht="12.5" customHeight="1">
      <c r="A481" s="12"/>
      <c r="B481" s="12"/>
      <c r="C481" s="12"/>
      <c r="D481" s="12"/>
      <c r="E481" s="12"/>
      <c r="F481" s="12"/>
    </row>
    <row r="482" spans="1:6" ht="12.5" customHeight="1">
      <c r="A482" s="12"/>
      <c r="B482" s="12"/>
      <c r="C482" s="12"/>
      <c r="D482" s="12"/>
      <c r="E482" s="12"/>
      <c r="F482" s="12"/>
    </row>
    <row r="483" spans="1:6" ht="12.5" customHeight="1">
      <c r="A483" s="12"/>
      <c r="B483" s="12"/>
      <c r="C483" s="12"/>
      <c r="D483" s="12"/>
      <c r="E483" s="12"/>
      <c r="F483" s="12"/>
    </row>
    <row r="484" spans="1:6" ht="12.5" customHeight="1">
      <c r="A484" s="12"/>
      <c r="B484" s="12"/>
      <c r="C484" s="12"/>
      <c r="D484" s="12"/>
      <c r="E484" s="12"/>
      <c r="F484" s="12"/>
    </row>
    <row r="485" spans="1:6" ht="12.5" customHeight="1">
      <c r="A485" s="12"/>
      <c r="B485" s="12"/>
      <c r="C485" s="12"/>
      <c r="D485" s="12"/>
      <c r="E485" s="12"/>
      <c r="F485" s="12"/>
    </row>
    <row r="486" spans="1:6" ht="12.5" customHeight="1">
      <c r="A486" s="12"/>
      <c r="B486" s="12"/>
      <c r="C486" s="12"/>
      <c r="D486" s="12"/>
      <c r="E486" s="12"/>
      <c r="F486" s="12"/>
    </row>
    <row r="487" spans="1:6" ht="12.5" customHeight="1">
      <c r="A487" s="12"/>
      <c r="B487" s="12"/>
      <c r="C487" s="12"/>
      <c r="D487" s="12"/>
      <c r="E487" s="12"/>
      <c r="F487" s="12"/>
    </row>
    <row r="488" spans="1:6" ht="12.5" customHeight="1">
      <c r="A488" s="12"/>
      <c r="B488" s="12"/>
      <c r="C488" s="12"/>
      <c r="D488" s="12"/>
      <c r="E488" s="12"/>
      <c r="F488" s="12"/>
    </row>
    <row r="489" spans="1:6" ht="12.5" customHeight="1">
      <c r="A489" s="12"/>
      <c r="B489" s="12"/>
      <c r="C489" s="12"/>
      <c r="D489" s="12"/>
      <c r="E489" s="12"/>
      <c r="F489" s="12"/>
    </row>
    <row r="490" spans="1:6" ht="12.5" customHeight="1">
      <c r="A490" s="12"/>
      <c r="B490" s="12"/>
      <c r="C490" s="12"/>
      <c r="D490" s="12"/>
      <c r="E490" s="12"/>
      <c r="F490" s="12"/>
    </row>
    <row r="491" spans="1:6" ht="12.5" customHeight="1">
      <c r="A491" s="12"/>
      <c r="B491" s="12"/>
      <c r="C491" s="12"/>
      <c r="D491" s="12"/>
      <c r="E491" s="12"/>
      <c r="F491" s="12"/>
    </row>
    <row r="492" spans="1:6" ht="12.5" customHeight="1">
      <c r="A492" s="12"/>
      <c r="B492" s="12"/>
      <c r="C492" s="12"/>
      <c r="D492" s="12"/>
      <c r="E492" s="12"/>
      <c r="F492" s="12"/>
    </row>
    <row r="493" spans="1:6" ht="12.5" customHeight="1">
      <c r="A493" s="12"/>
      <c r="B493" s="12"/>
      <c r="C493" s="12"/>
      <c r="D493" s="12"/>
      <c r="E493" s="12"/>
      <c r="F493" s="12"/>
    </row>
    <row r="494" spans="1:6" ht="12.5" customHeight="1">
      <c r="A494" s="12"/>
      <c r="B494" s="12"/>
      <c r="C494" s="12"/>
      <c r="D494" s="12"/>
      <c r="E494" s="12"/>
      <c r="F494" s="12"/>
    </row>
    <row r="495" spans="1:6" ht="12.5" customHeight="1">
      <c r="A495" s="12"/>
      <c r="B495" s="12"/>
      <c r="C495" s="12"/>
      <c r="D495" s="12"/>
      <c r="E495" s="12"/>
      <c r="F495" s="12"/>
    </row>
    <row r="496" spans="1:6" ht="12.5" customHeight="1">
      <c r="A496" s="12"/>
      <c r="B496" s="12"/>
      <c r="C496" s="12"/>
      <c r="D496" s="12"/>
      <c r="E496" s="12"/>
      <c r="F496" s="12"/>
    </row>
    <row r="497" spans="1:6" ht="12.5" customHeight="1">
      <c r="A497" s="12"/>
      <c r="B497" s="12"/>
      <c r="C497" s="12"/>
      <c r="D497" s="12"/>
      <c r="E497" s="12"/>
      <c r="F497" s="12"/>
    </row>
    <row r="498" spans="1:6" ht="12.5" customHeight="1">
      <c r="A498" s="12"/>
      <c r="B498" s="12"/>
      <c r="C498" s="12"/>
      <c r="D498" s="12"/>
      <c r="E498" s="12"/>
      <c r="F498" s="12"/>
    </row>
    <row r="499" spans="1:6" ht="12.5" customHeight="1">
      <c r="A499" s="12"/>
      <c r="B499" s="12"/>
      <c r="C499" s="12"/>
      <c r="D499" s="12"/>
      <c r="E499" s="12"/>
      <c r="F499" s="12"/>
    </row>
    <row r="500" spans="1:6" ht="12.5" customHeight="1">
      <c r="A500" s="12"/>
      <c r="B500" s="12"/>
      <c r="C500" s="12"/>
      <c r="D500" s="12"/>
      <c r="E500" s="12"/>
      <c r="F500" s="12"/>
    </row>
    <row r="501" spans="1:6" ht="12.5" customHeight="1">
      <c r="A501" s="12"/>
      <c r="B501" s="12"/>
      <c r="C501" s="12"/>
      <c r="D501" s="12"/>
      <c r="E501" s="12"/>
      <c r="F501" s="12"/>
    </row>
    <row r="502" spans="1:6" ht="12.5" customHeight="1">
      <c r="A502" s="12"/>
      <c r="B502" s="12"/>
      <c r="C502" s="12"/>
      <c r="D502" s="12"/>
      <c r="E502" s="12"/>
      <c r="F502" s="12"/>
    </row>
    <row r="503" spans="1:6" ht="12.5" customHeight="1">
      <c r="A503" s="12"/>
      <c r="B503" s="12"/>
      <c r="C503" s="12"/>
      <c r="D503" s="12"/>
      <c r="E503" s="12"/>
      <c r="F503" s="12"/>
    </row>
    <row r="504" spans="1:6" ht="12.5" customHeight="1">
      <c r="A504" s="12"/>
      <c r="B504" s="12"/>
      <c r="C504" s="12"/>
      <c r="D504" s="12"/>
      <c r="E504" s="12"/>
      <c r="F504" s="12"/>
    </row>
    <row r="505" spans="1:6" ht="12.5" customHeight="1">
      <c r="A505" s="12"/>
      <c r="B505" s="12"/>
      <c r="C505" s="12"/>
      <c r="D505" s="12"/>
      <c r="E505" s="12"/>
      <c r="F505" s="12"/>
    </row>
    <row r="506" spans="1:6" ht="12.5" customHeight="1">
      <c r="A506" s="12"/>
      <c r="B506" s="12"/>
      <c r="C506" s="12"/>
      <c r="D506" s="12"/>
      <c r="E506" s="12"/>
      <c r="F506" s="12"/>
    </row>
    <row r="507" spans="1:6" ht="12.5" customHeight="1">
      <c r="A507" s="12"/>
      <c r="B507" s="12"/>
      <c r="C507" s="12"/>
      <c r="D507" s="12"/>
      <c r="E507" s="12"/>
      <c r="F507" s="12"/>
    </row>
    <row r="508" spans="1:6" ht="12.5" customHeight="1">
      <c r="A508" s="12"/>
      <c r="B508" s="12"/>
      <c r="C508" s="12"/>
      <c r="D508" s="12"/>
      <c r="E508" s="12"/>
      <c r="F508" s="12"/>
    </row>
    <row r="509" spans="1:6" ht="12.5" customHeight="1">
      <c r="A509" s="12"/>
      <c r="B509" s="12"/>
      <c r="C509" s="12"/>
      <c r="D509" s="12"/>
      <c r="E509" s="12"/>
      <c r="F509" s="12"/>
    </row>
    <row r="510" spans="1:6" ht="12.5" customHeight="1">
      <c r="A510" s="12"/>
      <c r="B510" s="12"/>
      <c r="C510" s="12"/>
      <c r="D510" s="12"/>
      <c r="E510" s="12"/>
      <c r="F510" s="12"/>
    </row>
    <row r="511" spans="1:6" ht="12.5" customHeight="1">
      <c r="A511" s="12"/>
      <c r="B511" s="12"/>
      <c r="C511" s="12"/>
      <c r="D511" s="12"/>
      <c r="E511" s="12"/>
      <c r="F511" s="12"/>
    </row>
    <row r="512" spans="1:6" ht="12.5" customHeight="1">
      <c r="A512" s="12"/>
      <c r="B512" s="12"/>
      <c r="C512" s="12"/>
      <c r="D512" s="12"/>
      <c r="E512" s="12"/>
      <c r="F512" s="12"/>
    </row>
    <row r="513" spans="1:6" ht="12.5" customHeight="1">
      <c r="A513" s="12"/>
      <c r="B513" s="12"/>
      <c r="C513" s="12"/>
      <c r="D513" s="12"/>
      <c r="E513" s="12"/>
      <c r="F513" s="12"/>
    </row>
    <row r="514" spans="1:6" ht="12.5" customHeight="1">
      <c r="A514" s="12"/>
      <c r="B514" s="12"/>
      <c r="C514" s="12"/>
      <c r="D514" s="12"/>
      <c r="E514" s="12"/>
      <c r="F514" s="12"/>
    </row>
    <row r="515" spans="1:6" ht="12.5" customHeight="1">
      <c r="A515" s="12"/>
      <c r="B515" s="12"/>
      <c r="C515" s="12"/>
      <c r="D515" s="12"/>
      <c r="E515" s="12"/>
      <c r="F515" s="12"/>
    </row>
    <row r="516" spans="1:6" ht="12.5" customHeight="1">
      <c r="A516" s="12"/>
      <c r="B516" s="12"/>
      <c r="C516" s="12"/>
      <c r="D516" s="12"/>
      <c r="E516" s="12"/>
      <c r="F516" s="12"/>
    </row>
    <row r="517" spans="1:6" ht="12.5" customHeight="1">
      <c r="A517" s="12"/>
      <c r="B517" s="12"/>
      <c r="C517" s="12"/>
      <c r="D517" s="12"/>
      <c r="E517" s="12"/>
      <c r="F517" s="12"/>
    </row>
    <row r="518" spans="1:6" ht="12.5" customHeight="1">
      <c r="A518" s="12"/>
      <c r="B518" s="12"/>
      <c r="C518" s="12"/>
      <c r="D518" s="12"/>
      <c r="E518" s="12"/>
      <c r="F518" s="12"/>
    </row>
    <row r="519" spans="1:6" ht="12.5" customHeight="1">
      <c r="A519" s="12"/>
      <c r="B519" s="12"/>
      <c r="C519" s="12"/>
      <c r="D519" s="12"/>
      <c r="E519" s="12"/>
      <c r="F519" s="12"/>
    </row>
    <row r="520" spans="1:6" ht="12.5" customHeight="1">
      <c r="A520" s="12"/>
      <c r="B520" s="12"/>
      <c r="C520" s="12"/>
      <c r="D520" s="12"/>
      <c r="E520" s="12"/>
      <c r="F520" s="12"/>
    </row>
    <row r="521" spans="1:6" ht="12.5" customHeight="1">
      <c r="A521" s="12"/>
      <c r="B521" s="12"/>
      <c r="C521" s="12"/>
      <c r="D521" s="12"/>
      <c r="E521" s="12"/>
      <c r="F521" s="12"/>
    </row>
    <row r="522" spans="1:6" ht="12.5" customHeight="1">
      <c r="A522" s="12"/>
      <c r="B522" s="12"/>
      <c r="C522" s="12"/>
      <c r="D522" s="12"/>
      <c r="E522" s="12"/>
      <c r="F522" s="12"/>
    </row>
    <row r="523" spans="1:6" ht="12.5" customHeight="1">
      <c r="A523" s="12"/>
      <c r="B523" s="12"/>
      <c r="C523" s="12"/>
      <c r="D523" s="12"/>
      <c r="E523" s="12"/>
      <c r="F523" s="12"/>
    </row>
    <row r="524" spans="1:6" ht="12.5" customHeight="1">
      <c r="A524" s="12"/>
      <c r="B524" s="12"/>
      <c r="C524" s="12"/>
      <c r="D524" s="12"/>
      <c r="E524" s="12"/>
      <c r="F524" s="12"/>
    </row>
    <row r="525" spans="1:6" ht="12.5" customHeight="1">
      <c r="A525" s="12"/>
      <c r="B525" s="12"/>
      <c r="C525" s="12"/>
      <c r="D525" s="12"/>
      <c r="E525" s="12"/>
      <c r="F525" s="12"/>
    </row>
    <row r="526" spans="1:6" ht="12.5" customHeight="1">
      <c r="A526" s="12"/>
      <c r="B526" s="12"/>
      <c r="C526" s="12"/>
      <c r="D526" s="12"/>
      <c r="E526" s="12"/>
      <c r="F526" s="12"/>
    </row>
    <row r="527" spans="1:6" ht="12.5" customHeight="1">
      <c r="A527" s="12"/>
      <c r="B527" s="12"/>
      <c r="C527" s="12"/>
      <c r="D527" s="12"/>
      <c r="E527" s="12"/>
      <c r="F527" s="12"/>
    </row>
    <row r="528" spans="1:6" ht="12.5" customHeight="1">
      <c r="A528" s="12"/>
      <c r="B528" s="12"/>
      <c r="C528" s="12"/>
      <c r="D528" s="12"/>
      <c r="E528" s="12"/>
      <c r="F528" s="12"/>
    </row>
    <row r="529" spans="1:6" ht="12.5" customHeight="1">
      <c r="A529" s="12"/>
      <c r="B529" s="12"/>
      <c r="C529" s="12"/>
      <c r="D529" s="12"/>
      <c r="E529" s="12"/>
      <c r="F529" s="12"/>
    </row>
    <row r="530" spans="1:6" ht="12.5" customHeight="1">
      <c r="A530" s="12"/>
      <c r="B530" s="12"/>
      <c r="C530" s="12"/>
      <c r="D530" s="12"/>
      <c r="E530" s="12"/>
      <c r="F530" s="12"/>
    </row>
    <row r="531" spans="1:6" ht="12.5" customHeight="1">
      <c r="A531" s="12"/>
      <c r="B531" s="12"/>
      <c r="C531" s="12"/>
      <c r="D531" s="12"/>
      <c r="E531" s="12"/>
      <c r="F531" s="12"/>
    </row>
    <row r="532" spans="1:6" ht="12.5" customHeight="1">
      <c r="A532" s="12"/>
      <c r="B532" s="12"/>
      <c r="C532" s="12"/>
      <c r="D532" s="12"/>
      <c r="E532" s="12"/>
      <c r="F532" s="12"/>
    </row>
    <row r="533" spans="1:6" ht="12.5" customHeight="1">
      <c r="A533" s="12"/>
      <c r="B533" s="12"/>
      <c r="C533" s="12"/>
      <c r="D533" s="12"/>
      <c r="E533" s="12"/>
      <c r="F533" s="12"/>
    </row>
    <row r="534" spans="1:6" ht="12.5" customHeight="1">
      <c r="A534" s="12"/>
      <c r="B534" s="12"/>
      <c r="C534" s="12"/>
      <c r="D534" s="12"/>
      <c r="E534" s="12"/>
      <c r="F534" s="12"/>
    </row>
    <row r="535" spans="1:6" ht="12.5" customHeight="1">
      <c r="A535" s="12"/>
      <c r="B535" s="12"/>
      <c r="C535" s="12"/>
      <c r="D535" s="12"/>
      <c r="E535" s="12"/>
      <c r="F535" s="12"/>
    </row>
    <row r="536" spans="1:6" ht="12.5" customHeight="1">
      <c r="A536" s="12"/>
      <c r="B536" s="12"/>
      <c r="C536" s="12"/>
      <c r="D536" s="12"/>
      <c r="E536" s="12"/>
      <c r="F536" s="12"/>
    </row>
    <row r="537" spans="1:6" ht="12.5" customHeight="1">
      <c r="A537" s="12"/>
      <c r="B537" s="12"/>
      <c r="C537" s="12"/>
      <c r="D537" s="12"/>
      <c r="E537" s="12"/>
      <c r="F537" s="12"/>
    </row>
    <row r="538" spans="1:6" ht="12.5" customHeight="1">
      <c r="A538" s="12"/>
      <c r="B538" s="12"/>
      <c r="C538" s="12"/>
      <c r="D538" s="12"/>
      <c r="E538" s="12"/>
      <c r="F538" s="12"/>
    </row>
    <row r="539" spans="1:6" ht="12.5" customHeight="1">
      <c r="A539" s="12"/>
      <c r="B539" s="12"/>
      <c r="C539" s="12"/>
      <c r="D539" s="12"/>
      <c r="E539" s="12"/>
      <c r="F539" s="12"/>
    </row>
    <row r="540" spans="1:6" ht="12.5" customHeight="1">
      <c r="A540" s="12"/>
      <c r="B540" s="12"/>
      <c r="C540" s="12"/>
      <c r="D540" s="12"/>
      <c r="E540" s="12"/>
      <c r="F540" s="12"/>
    </row>
    <row r="541" spans="1:6" ht="12.5" customHeight="1">
      <c r="A541" s="12"/>
      <c r="B541" s="12"/>
      <c r="C541" s="12"/>
      <c r="D541" s="12"/>
      <c r="E541" s="12"/>
      <c r="F541" s="12"/>
    </row>
    <row r="542" spans="1:6" ht="12.5" customHeight="1">
      <c r="A542" s="12"/>
      <c r="B542" s="12"/>
      <c r="C542" s="12"/>
      <c r="D542" s="12"/>
      <c r="E542" s="12"/>
      <c r="F542" s="12"/>
    </row>
    <row r="543" spans="1:6" ht="12.5" customHeight="1">
      <c r="A543" s="12"/>
      <c r="B543" s="12"/>
      <c r="C543" s="12"/>
      <c r="D543" s="12"/>
      <c r="E543" s="12"/>
      <c r="F543" s="12"/>
    </row>
    <row r="544" spans="1:6" ht="12.5" customHeight="1">
      <c r="A544" s="12"/>
      <c r="B544" s="12"/>
      <c r="C544" s="12"/>
      <c r="D544" s="12"/>
      <c r="E544" s="12"/>
      <c r="F544" s="12"/>
    </row>
    <row r="545" spans="1:6" ht="12.5" customHeight="1">
      <c r="A545" s="12"/>
      <c r="B545" s="12"/>
      <c r="C545" s="12"/>
      <c r="D545" s="12"/>
      <c r="E545" s="12"/>
      <c r="F545" s="12"/>
    </row>
    <row r="546" spans="1:6" ht="12.5" customHeight="1">
      <c r="A546" s="12"/>
      <c r="B546" s="12"/>
      <c r="C546" s="12"/>
      <c r="D546" s="12"/>
      <c r="E546" s="12"/>
      <c r="F546" s="12"/>
    </row>
    <row r="547" spans="1:6" ht="12.5" customHeight="1">
      <c r="A547" s="12"/>
      <c r="B547" s="12"/>
      <c r="C547" s="12"/>
      <c r="D547" s="12"/>
      <c r="E547" s="12"/>
      <c r="F547" s="12"/>
    </row>
    <row r="548" spans="1:6" ht="12.5" customHeight="1">
      <c r="A548" s="12"/>
      <c r="B548" s="12"/>
      <c r="C548" s="12"/>
      <c r="D548" s="12"/>
      <c r="E548" s="12"/>
      <c r="F548" s="12"/>
    </row>
    <row r="549" spans="1:6" ht="12.5" customHeight="1">
      <c r="A549" s="12"/>
      <c r="B549" s="12"/>
      <c r="C549" s="12"/>
      <c r="D549" s="12"/>
      <c r="E549" s="12"/>
      <c r="F549" s="12"/>
    </row>
    <row r="550" spans="1:6" ht="12.5" customHeight="1">
      <c r="A550" s="12"/>
      <c r="B550" s="12"/>
      <c r="C550" s="12"/>
      <c r="D550" s="12"/>
      <c r="E550" s="12"/>
      <c r="F550" s="12"/>
    </row>
    <row r="551" spans="1:6" ht="12.5" customHeight="1">
      <c r="A551" s="12"/>
      <c r="B551" s="12"/>
      <c r="C551" s="12"/>
      <c r="D551" s="12"/>
      <c r="E551" s="12"/>
      <c r="F551" s="12"/>
    </row>
    <row r="552" spans="1:6" ht="12.5" customHeight="1">
      <c r="A552" s="12"/>
      <c r="B552" s="12"/>
      <c r="C552" s="12"/>
      <c r="D552" s="12"/>
      <c r="E552" s="12"/>
      <c r="F552" s="12"/>
    </row>
    <row r="553" spans="1:6" ht="12.5" customHeight="1">
      <c r="A553" s="12"/>
      <c r="B553" s="12"/>
      <c r="C553" s="12"/>
      <c r="D553" s="12"/>
      <c r="E553" s="12"/>
      <c r="F553" s="12"/>
    </row>
    <row r="554" spans="1:6" ht="12.5" customHeight="1">
      <c r="A554" s="12"/>
      <c r="B554" s="12"/>
      <c r="C554" s="12"/>
      <c r="D554" s="12"/>
      <c r="E554" s="12"/>
      <c r="F554" s="12"/>
    </row>
    <row r="555" spans="1:6" ht="12.5" customHeight="1">
      <c r="A555" s="12"/>
      <c r="B555" s="12"/>
      <c r="C555" s="12"/>
      <c r="D555" s="12"/>
      <c r="E555" s="12"/>
      <c r="F555" s="12"/>
    </row>
    <row r="556" spans="1:6" ht="12.5" customHeight="1">
      <c r="A556" s="12"/>
      <c r="B556" s="12"/>
      <c r="C556" s="12"/>
      <c r="D556" s="12"/>
      <c r="E556" s="12"/>
      <c r="F556" s="12"/>
    </row>
    <row r="557" spans="1:6" ht="12.5" customHeight="1">
      <c r="A557" s="12"/>
      <c r="B557" s="12"/>
      <c r="C557" s="12"/>
      <c r="D557" s="12"/>
      <c r="E557" s="12"/>
      <c r="F557" s="12"/>
    </row>
    <row r="558" spans="1:6" ht="12.5" customHeight="1">
      <c r="A558" s="12"/>
      <c r="B558" s="12"/>
      <c r="C558" s="12"/>
      <c r="D558" s="12"/>
      <c r="E558" s="12"/>
      <c r="F558" s="12"/>
    </row>
    <row r="559" spans="1:6" ht="12.5" customHeight="1">
      <c r="A559" s="12"/>
      <c r="B559" s="12"/>
      <c r="C559" s="12"/>
      <c r="D559" s="12"/>
      <c r="E559" s="12"/>
      <c r="F559" s="12"/>
    </row>
    <row r="560" spans="1:6" ht="12.5" customHeight="1">
      <c r="A560" s="12"/>
      <c r="B560" s="12"/>
      <c r="C560" s="12"/>
      <c r="D560" s="12"/>
      <c r="E560" s="12"/>
      <c r="F560" s="12"/>
    </row>
    <row r="561" spans="1:6" ht="12.5" customHeight="1">
      <c r="A561" s="12"/>
      <c r="B561" s="12"/>
      <c r="C561" s="12"/>
      <c r="D561" s="12"/>
      <c r="E561" s="12"/>
      <c r="F561" s="12"/>
    </row>
    <row r="562" spans="1:6" ht="12.5" customHeight="1">
      <c r="A562" s="12"/>
      <c r="B562" s="12"/>
      <c r="C562" s="12"/>
      <c r="D562" s="12"/>
      <c r="E562" s="12"/>
      <c r="F562" s="12"/>
    </row>
    <row r="563" spans="1:6" ht="12.5" customHeight="1">
      <c r="A563" s="12"/>
      <c r="B563" s="12"/>
      <c r="C563" s="12"/>
      <c r="D563" s="12"/>
      <c r="E563" s="12"/>
      <c r="F563" s="12"/>
    </row>
    <row r="564" spans="1:6" ht="12.5" customHeight="1">
      <c r="A564" s="12"/>
      <c r="B564" s="12"/>
      <c r="C564" s="12"/>
      <c r="D564" s="12"/>
      <c r="E564" s="12"/>
      <c r="F564" s="12"/>
    </row>
    <row r="565" spans="1:6" ht="12.5" customHeight="1">
      <c r="A565" s="12"/>
      <c r="B565" s="12"/>
      <c r="C565" s="12"/>
      <c r="D565" s="12"/>
      <c r="E565" s="12"/>
      <c r="F565" s="12"/>
    </row>
    <row r="566" spans="1:6" ht="12.5" customHeight="1">
      <c r="A566" s="12"/>
      <c r="B566" s="12"/>
      <c r="C566" s="12"/>
      <c r="D566" s="12"/>
      <c r="E566" s="12"/>
      <c r="F566" s="12"/>
    </row>
    <row r="567" spans="1:6" ht="12.5" customHeight="1">
      <c r="A567" s="12"/>
      <c r="B567" s="12"/>
      <c r="C567" s="12"/>
      <c r="D567" s="12"/>
      <c r="E567" s="12"/>
      <c r="F567" s="12"/>
    </row>
    <row r="568" spans="1:6" ht="12.5" customHeight="1">
      <c r="A568" s="12"/>
      <c r="B568" s="12"/>
      <c r="C568" s="12"/>
      <c r="D568" s="12"/>
      <c r="E568" s="12"/>
      <c r="F568" s="12"/>
    </row>
    <row r="569" spans="1:6" ht="12.5" customHeight="1">
      <c r="A569" s="12"/>
      <c r="B569" s="12"/>
      <c r="C569" s="12"/>
      <c r="D569" s="12"/>
      <c r="E569" s="12"/>
      <c r="F569" s="12"/>
    </row>
    <row r="570" spans="1:6" ht="12.5" customHeight="1">
      <c r="A570" s="12"/>
      <c r="B570" s="12"/>
      <c r="C570" s="12"/>
      <c r="D570" s="12"/>
      <c r="E570" s="12"/>
      <c r="F570" s="12"/>
    </row>
    <row r="571" spans="1:6" ht="12.5" customHeight="1">
      <c r="A571" s="12"/>
      <c r="B571" s="12"/>
      <c r="C571" s="12"/>
      <c r="D571" s="12"/>
      <c r="E571" s="12"/>
      <c r="F571" s="12"/>
    </row>
    <row r="572" spans="1:6" ht="12.5" customHeight="1">
      <c r="A572" s="12"/>
      <c r="B572" s="12"/>
      <c r="C572" s="12"/>
      <c r="D572" s="12"/>
      <c r="E572" s="12"/>
      <c r="F572" s="12"/>
    </row>
    <row r="573" spans="1:6" ht="12.5" customHeight="1">
      <c r="A573" s="12"/>
      <c r="B573" s="12"/>
      <c r="C573" s="12"/>
      <c r="D573" s="12"/>
      <c r="E573" s="12"/>
      <c r="F573" s="12"/>
    </row>
    <row r="574" spans="1:6" ht="12.5" customHeight="1">
      <c r="A574" s="12"/>
      <c r="B574" s="12"/>
      <c r="C574" s="12"/>
      <c r="D574" s="12"/>
      <c r="E574" s="12"/>
      <c r="F574" s="12"/>
    </row>
    <row r="575" spans="1:6" ht="12.5" customHeight="1">
      <c r="A575" s="12"/>
      <c r="B575" s="12"/>
      <c r="C575" s="12"/>
      <c r="D575" s="12"/>
      <c r="E575" s="12"/>
      <c r="F575" s="12"/>
    </row>
    <row r="576" spans="1:6" ht="12.5" customHeight="1">
      <c r="A576" s="12"/>
      <c r="B576" s="12"/>
      <c r="C576" s="12"/>
      <c r="D576" s="12"/>
      <c r="E576" s="12"/>
      <c r="F576" s="12"/>
    </row>
    <row r="577" spans="1:6" ht="12.5" customHeight="1">
      <c r="A577" s="12"/>
      <c r="B577" s="12"/>
      <c r="C577" s="12"/>
      <c r="D577" s="12"/>
      <c r="E577" s="12"/>
      <c r="F577" s="12"/>
    </row>
    <row r="578" spans="1:6" ht="12.5" customHeight="1">
      <c r="A578" s="12"/>
      <c r="B578" s="12"/>
      <c r="C578" s="12"/>
      <c r="D578" s="12"/>
      <c r="E578" s="12"/>
      <c r="F578" s="12"/>
    </row>
    <row r="579" spans="1:6" ht="12.5" customHeight="1">
      <c r="A579" s="12"/>
      <c r="B579" s="12"/>
      <c r="C579" s="12"/>
      <c r="D579" s="12"/>
      <c r="E579" s="12"/>
      <c r="F579" s="12"/>
    </row>
    <row r="580" spans="1:6" ht="12.5" customHeight="1">
      <c r="A580" s="12"/>
      <c r="B580" s="12"/>
      <c r="C580" s="12"/>
      <c r="D580" s="12"/>
      <c r="E580" s="12"/>
      <c r="F580" s="12"/>
    </row>
    <row r="581" spans="1:6" ht="12.5" customHeight="1">
      <c r="A581" s="12"/>
      <c r="B581" s="12"/>
      <c r="C581" s="12"/>
      <c r="D581" s="12"/>
      <c r="E581" s="12"/>
      <c r="F581" s="12"/>
    </row>
    <row r="582" spans="1:6" ht="12.5" customHeight="1">
      <c r="A582" s="12"/>
      <c r="B582" s="12"/>
      <c r="C582" s="12"/>
      <c r="D582" s="12"/>
      <c r="E582" s="12"/>
      <c r="F582" s="12"/>
    </row>
    <row r="583" spans="1:6" ht="12.5" customHeight="1">
      <c r="A583" s="12"/>
      <c r="B583" s="12"/>
      <c r="C583" s="12"/>
      <c r="D583" s="12"/>
      <c r="E583" s="12"/>
      <c r="F583" s="12"/>
    </row>
    <row r="584" spans="1:6" ht="12.5" customHeight="1">
      <c r="A584" s="12"/>
      <c r="B584" s="12"/>
      <c r="C584" s="12"/>
      <c r="D584" s="12"/>
      <c r="E584" s="12"/>
      <c r="F584" s="12"/>
    </row>
    <row r="585" spans="1:6" ht="12.5" customHeight="1">
      <c r="A585" s="12"/>
      <c r="B585" s="12"/>
      <c r="C585" s="12"/>
      <c r="D585" s="12"/>
      <c r="E585" s="12"/>
      <c r="F585" s="12"/>
    </row>
    <row r="586" spans="1:6" ht="12.5" customHeight="1">
      <c r="A586" s="12"/>
      <c r="B586" s="12"/>
      <c r="C586" s="12"/>
      <c r="D586" s="12"/>
      <c r="E586" s="12"/>
      <c r="F586" s="12"/>
    </row>
    <row r="587" spans="1:6" ht="12.5" customHeight="1">
      <c r="A587" s="12"/>
      <c r="B587" s="12"/>
      <c r="C587" s="12"/>
      <c r="D587" s="12"/>
      <c r="E587" s="12"/>
      <c r="F587" s="12"/>
    </row>
    <row r="588" spans="1:6" ht="12.5" customHeight="1">
      <c r="A588" s="12"/>
      <c r="B588" s="12"/>
      <c r="C588" s="12"/>
      <c r="D588" s="12"/>
      <c r="E588" s="12"/>
      <c r="F588" s="12"/>
    </row>
    <row r="589" spans="1:6" ht="12.5" customHeight="1">
      <c r="A589" s="12"/>
      <c r="B589" s="12"/>
      <c r="C589" s="12"/>
      <c r="D589" s="12"/>
      <c r="E589" s="12"/>
      <c r="F589" s="12"/>
    </row>
    <row r="590" spans="1:6" ht="12.5" customHeight="1">
      <c r="A590" s="12"/>
      <c r="B590" s="12"/>
      <c r="C590" s="12"/>
      <c r="D590" s="12"/>
      <c r="E590" s="12"/>
      <c r="F590" s="12"/>
    </row>
    <row r="591" spans="1:6" ht="12.5" customHeight="1">
      <c r="A591" s="12"/>
      <c r="B591" s="12"/>
      <c r="C591" s="12"/>
      <c r="D591" s="12"/>
      <c r="E591" s="12"/>
      <c r="F591" s="12"/>
    </row>
    <row r="592" spans="1:6" ht="12.5" customHeight="1">
      <c r="A592" s="12"/>
      <c r="B592" s="12"/>
      <c r="C592" s="12"/>
      <c r="D592" s="12"/>
      <c r="E592" s="12"/>
      <c r="F592" s="12"/>
    </row>
    <row r="593" spans="1:6" ht="12.5" customHeight="1">
      <c r="A593" s="12"/>
      <c r="B593" s="12"/>
      <c r="C593" s="12"/>
      <c r="D593" s="12"/>
      <c r="E593" s="12"/>
      <c r="F593" s="12"/>
    </row>
    <row r="594" spans="1:6" ht="12.5" customHeight="1">
      <c r="A594" s="12"/>
      <c r="B594" s="12"/>
      <c r="C594" s="12"/>
      <c r="D594" s="12"/>
      <c r="E594" s="12"/>
      <c r="F594" s="12"/>
    </row>
    <row r="595" spans="1:6" ht="12.5" customHeight="1">
      <c r="A595" s="12"/>
      <c r="B595" s="12"/>
      <c r="C595" s="12"/>
      <c r="D595" s="12"/>
      <c r="E595" s="12"/>
      <c r="F595" s="12"/>
    </row>
    <row r="596" spans="1:6" ht="12.5" customHeight="1">
      <c r="A596" s="12"/>
      <c r="B596" s="12"/>
      <c r="C596" s="12"/>
      <c r="D596" s="12"/>
      <c r="E596" s="12"/>
      <c r="F596" s="12"/>
    </row>
    <row r="597" spans="1:6" ht="12.5" customHeight="1">
      <c r="A597" s="12"/>
      <c r="B597" s="12"/>
      <c r="C597" s="12"/>
      <c r="D597" s="12"/>
      <c r="E597" s="12"/>
      <c r="F597" s="12"/>
    </row>
    <row r="598" spans="1:6" ht="12.5" customHeight="1">
      <c r="A598" s="12"/>
      <c r="B598" s="12"/>
      <c r="C598" s="12"/>
      <c r="D598" s="12"/>
      <c r="E598" s="12"/>
      <c r="F598" s="12"/>
    </row>
    <row r="599" spans="1:6" ht="12.5" customHeight="1">
      <c r="A599" s="12"/>
      <c r="B599" s="12"/>
      <c r="C599" s="12"/>
      <c r="D599" s="12"/>
      <c r="E599" s="12"/>
      <c r="F599" s="12"/>
    </row>
    <row r="600" spans="1:6" ht="12.5" customHeight="1">
      <c r="A600" s="12"/>
      <c r="B600" s="12"/>
      <c r="C600" s="12"/>
      <c r="D600" s="12"/>
      <c r="E600" s="12"/>
      <c r="F600" s="12"/>
    </row>
    <row r="601" spans="1:6" ht="12.5" customHeight="1">
      <c r="A601" s="12"/>
      <c r="B601" s="12"/>
      <c r="C601" s="12"/>
      <c r="D601" s="12"/>
      <c r="E601" s="12"/>
      <c r="F601" s="12"/>
    </row>
    <row r="602" spans="1:6" ht="12.5" customHeight="1">
      <c r="A602" s="12"/>
      <c r="B602" s="12"/>
      <c r="C602" s="12"/>
      <c r="D602" s="12"/>
      <c r="E602" s="12"/>
      <c r="F602" s="12"/>
    </row>
    <row r="603" spans="1:6" ht="12.5" customHeight="1">
      <c r="A603" s="12"/>
      <c r="B603" s="12"/>
      <c r="C603" s="12"/>
      <c r="D603" s="12"/>
      <c r="E603" s="12"/>
      <c r="F603" s="12"/>
    </row>
    <row r="604" spans="1:6" ht="12.5" customHeight="1">
      <c r="A604" s="12"/>
      <c r="B604" s="12"/>
      <c r="C604" s="12"/>
      <c r="D604" s="12"/>
      <c r="E604" s="12"/>
      <c r="F604" s="12"/>
    </row>
    <row r="605" spans="1:6" ht="12.5" customHeight="1">
      <c r="A605" s="12"/>
      <c r="B605" s="12"/>
      <c r="C605" s="12"/>
      <c r="D605" s="12"/>
      <c r="E605" s="12"/>
      <c r="F605" s="12"/>
    </row>
    <row r="606" spans="1:6" ht="12.5" customHeight="1">
      <c r="A606" s="12"/>
      <c r="B606" s="12"/>
      <c r="C606" s="12"/>
      <c r="D606" s="12"/>
      <c r="E606" s="12"/>
      <c r="F606" s="12"/>
    </row>
    <row r="607" spans="1:6" ht="12.5" customHeight="1">
      <c r="A607" s="12"/>
      <c r="B607" s="12"/>
      <c r="C607" s="12"/>
      <c r="D607" s="12"/>
      <c r="E607" s="12"/>
      <c r="F607" s="12"/>
    </row>
    <row r="608" spans="1:6" ht="12.5" customHeight="1">
      <c r="A608" s="12"/>
      <c r="B608" s="12"/>
      <c r="C608" s="12"/>
      <c r="D608" s="12"/>
      <c r="E608" s="12"/>
      <c r="F608" s="12"/>
    </row>
    <row r="609" spans="1:6" ht="12.5" customHeight="1">
      <c r="A609" s="12"/>
      <c r="B609" s="12"/>
      <c r="C609" s="12"/>
      <c r="D609" s="12"/>
      <c r="E609" s="12"/>
      <c r="F609" s="12"/>
    </row>
    <row r="610" spans="1:6" ht="12.5" customHeight="1">
      <c r="A610" s="12"/>
      <c r="B610" s="12"/>
      <c r="C610" s="12"/>
      <c r="D610" s="12"/>
      <c r="E610" s="12"/>
      <c r="F610" s="12"/>
    </row>
    <row r="611" spans="1:6" ht="12.5" customHeight="1">
      <c r="A611" s="12"/>
      <c r="B611" s="12"/>
      <c r="C611" s="12"/>
      <c r="D611" s="12"/>
      <c r="E611" s="12"/>
      <c r="F611" s="12"/>
    </row>
    <row r="612" spans="1:6" ht="12.5" customHeight="1">
      <c r="A612" s="12"/>
      <c r="B612" s="12"/>
      <c r="C612" s="12"/>
      <c r="D612" s="12"/>
      <c r="E612" s="12"/>
      <c r="F612" s="12"/>
    </row>
    <row r="613" spans="1:6" ht="12.5" customHeight="1">
      <c r="A613" s="12"/>
      <c r="B613" s="12"/>
      <c r="C613" s="12"/>
      <c r="D613" s="12"/>
      <c r="E613" s="12"/>
      <c r="F613" s="12"/>
    </row>
    <row r="614" spans="1:6" ht="12.5" customHeight="1">
      <c r="A614" s="12"/>
      <c r="B614" s="12"/>
      <c r="C614" s="12"/>
      <c r="D614" s="12"/>
      <c r="E614" s="12"/>
      <c r="F614" s="12"/>
    </row>
    <row r="615" spans="1:6" ht="12.5" customHeight="1">
      <c r="A615" s="12"/>
      <c r="B615" s="12"/>
      <c r="C615" s="12"/>
      <c r="D615" s="12"/>
      <c r="E615" s="12"/>
      <c r="F615" s="12"/>
    </row>
    <row r="616" spans="1:6" ht="12.5" customHeight="1">
      <c r="A616" s="12"/>
      <c r="B616" s="12"/>
      <c r="C616" s="12"/>
      <c r="D616" s="12"/>
      <c r="E616" s="12"/>
      <c r="F616" s="12"/>
    </row>
    <row r="617" spans="1:6" ht="12.5" customHeight="1">
      <c r="A617" s="12"/>
      <c r="B617" s="12"/>
      <c r="C617" s="12"/>
      <c r="D617" s="12"/>
      <c r="E617" s="12"/>
      <c r="F617" s="12"/>
    </row>
    <row r="618" spans="1:6" ht="12.5" customHeight="1">
      <c r="A618" s="12"/>
      <c r="B618" s="12"/>
      <c r="C618" s="12"/>
      <c r="D618" s="12"/>
      <c r="E618" s="12"/>
      <c r="F618" s="12"/>
    </row>
    <row r="619" spans="1:6" ht="12.5" customHeight="1">
      <c r="A619" s="12"/>
      <c r="B619" s="12"/>
      <c r="C619" s="12"/>
      <c r="D619" s="12"/>
      <c r="E619" s="12"/>
      <c r="F619" s="12"/>
    </row>
    <row r="620" spans="1:6" ht="12.5" customHeight="1">
      <c r="A620" s="12"/>
      <c r="B620" s="12"/>
      <c r="C620" s="12"/>
      <c r="D620" s="12"/>
      <c r="E620" s="12"/>
      <c r="F620" s="12"/>
    </row>
    <row r="621" spans="1:6" ht="12.5" customHeight="1">
      <c r="A621" s="12"/>
      <c r="B621" s="12"/>
      <c r="C621" s="12"/>
      <c r="D621" s="12"/>
      <c r="E621" s="12"/>
      <c r="F621" s="12"/>
    </row>
    <row r="622" spans="1:6" ht="12.5" customHeight="1">
      <c r="A622" s="12"/>
      <c r="B622" s="12"/>
      <c r="C622" s="12"/>
      <c r="D622" s="12"/>
      <c r="E622" s="12"/>
      <c r="F622" s="12"/>
    </row>
    <row r="623" spans="1:6" ht="12.5" customHeight="1">
      <c r="A623" s="12"/>
      <c r="B623" s="12"/>
      <c r="C623" s="12"/>
      <c r="D623" s="12"/>
      <c r="E623" s="12"/>
      <c r="F623" s="12"/>
    </row>
    <row r="624" spans="1:6" ht="12.5" customHeight="1">
      <c r="A624" s="12"/>
      <c r="B624" s="12"/>
      <c r="C624" s="12"/>
      <c r="D624" s="12"/>
      <c r="E624" s="12"/>
      <c r="F624" s="12"/>
    </row>
    <row r="625" spans="1:6" ht="12.5" customHeight="1">
      <c r="A625" s="12"/>
      <c r="B625" s="12"/>
      <c r="C625" s="12"/>
      <c r="D625" s="12"/>
      <c r="E625" s="12"/>
      <c r="F625" s="12"/>
    </row>
    <row r="626" spans="1:6" ht="12.5" customHeight="1">
      <c r="A626" s="12"/>
      <c r="B626" s="12"/>
      <c r="C626" s="12"/>
      <c r="D626" s="12"/>
      <c r="E626" s="12"/>
      <c r="F626" s="12"/>
    </row>
    <row r="627" spans="1:6" ht="12.5" customHeight="1">
      <c r="A627" s="12"/>
      <c r="B627" s="12"/>
      <c r="C627" s="12"/>
      <c r="D627" s="12"/>
      <c r="E627" s="12"/>
      <c r="F627" s="12"/>
    </row>
    <row r="628" spans="1:6" ht="12.5" customHeight="1">
      <c r="A628" s="12"/>
      <c r="B628" s="12"/>
      <c r="C628" s="12"/>
      <c r="D628" s="12"/>
      <c r="E628" s="12"/>
      <c r="F628" s="12"/>
    </row>
    <row r="629" spans="1:6" ht="12.5" customHeight="1">
      <c r="A629" s="12"/>
      <c r="B629" s="12"/>
      <c r="C629" s="12"/>
      <c r="D629" s="12"/>
      <c r="E629" s="12"/>
      <c r="F629" s="12"/>
    </row>
    <row r="630" spans="1:6" ht="12.5" customHeight="1">
      <c r="A630" s="12"/>
      <c r="B630" s="12"/>
      <c r="C630" s="12"/>
      <c r="D630" s="12"/>
      <c r="E630" s="12"/>
      <c r="F630" s="12"/>
    </row>
    <row r="631" spans="1:6" ht="12.5" customHeight="1">
      <c r="A631" s="12"/>
      <c r="B631" s="12"/>
      <c r="C631" s="12"/>
      <c r="D631" s="12"/>
      <c r="E631" s="12"/>
      <c r="F631" s="12"/>
    </row>
    <row r="632" spans="1:6" ht="12.5" customHeight="1">
      <c r="A632" s="12"/>
      <c r="B632" s="12"/>
      <c r="C632" s="12"/>
      <c r="D632" s="12"/>
      <c r="E632" s="12"/>
      <c r="F632" s="12"/>
    </row>
    <row r="633" spans="1:6" ht="12.5" customHeight="1">
      <c r="A633" s="12"/>
      <c r="B633" s="12"/>
      <c r="C633" s="12"/>
      <c r="D633" s="12"/>
      <c r="E633" s="12"/>
      <c r="F633" s="12"/>
    </row>
    <row r="634" spans="1:6" ht="12.5" customHeight="1">
      <c r="A634" s="12"/>
      <c r="B634" s="12"/>
      <c r="C634" s="12"/>
      <c r="D634" s="12"/>
      <c r="E634" s="12"/>
      <c r="F634" s="12"/>
    </row>
    <row r="635" spans="1:6" ht="12.5" customHeight="1">
      <c r="A635" s="12"/>
      <c r="B635" s="12"/>
      <c r="C635" s="12"/>
      <c r="D635" s="12"/>
      <c r="E635" s="12"/>
      <c r="F635" s="12"/>
    </row>
    <row r="636" spans="1:6" ht="12.5" customHeight="1">
      <c r="A636" s="12"/>
      <c r="B636" s="12"/>
      <c r="C636" s="12"/>
      <c r="D636" s="12"/>
      <c r="E636" s="12"/>
      <c r="F636" s="12"/>
    </row>
    <row r="637" spans="1:6" ht="12.5" customHeight="1">
      <c r="A637" s="12"/>
      <c r="B637" s="12"/>
      <c r="C637" s="12"/>
      <c r="D637" s="12"/>
      <c r="E637" s="12"/>
      <c r="F637" s="12"/>
    </row>
    <row r="638" spans="1:6" ht="12.5" customHeight="1">
      <c r="A638" s="12"/>
      <c r="B638" s="12"/>
      <c r="C638" s="12"/>
      <c r="D638" s="12"/>
      <c r="E638" s="12"/>
      <c r="F638" s="12"/>
    </row>
    <row r="639" spans="1:6" ht="12.5" customHeight="1">
      <c r="A639" s="12"/>
      <c r="B639" s="12"/>
      <c r="C639" s="12"/>
      <c r="D639" s="12"/>
      <c r="E639" s="12"/>
      <c r="F639" s="12"/>
    </row>
    <row r="640" spans="1:6" ht="12.5" customHeight="1">
      <c r="A640" s="12"/>
      <c r="B640" s="12"/>
      <c r="C640" s="12"/>
      <c r="D640" s="12"/>
      <c r="E640" s="12"/>
      <c r="F640" s="12"/>
    </row>
    <row r="641" spans="1:6" ht="12.5" customHeight="1">
      <c r="A641" s="12"/>
      <c r="B641" s="12"/>
      <c r="C641" s="12"/>
      <c r="D641" s="12"/>
      <c r="E641" s="12"/>
      <c r="F641" s="12"/>
    </row>
    <row r="642" spans="1:6" ht="12.5" customHeight="1">
      <c r="A642" s="12"/>
      <c r="B642" s="12"/>
      <c r="C642" s="12"/>
      <c r="D642" s="12"/>
      <c r="E642" s="12"/>
      <c r="F642" s="12"/>
    </row>
    <row r="643" spans="1:6" ht="12.5" customHeight="1">
      <c r="A643" s="12"/>
      <c r="B643" s="12"/>
      <c r="C643" s="12"/>
      <c r="D643" s="12"/>
      <c r="E643" s="12"/>
      <c r="F643" s="12"/>
    </row>
    <row r="644" spans="1:6" ht="12.5" customHeight="1">
      <c r="A644" s="12"/>
      <c r="B644" s="12"/>
      <c r="C644" s="12"/>
      <c r="D644" s="12"/>
      <c r="E644" s="12"/>
      <c r="F644" s="12"/>
    </row>
    <row r="645" spans="1:6" ht="12.5" customHeight="1">
      <c r="A645" s="12"/>
      <c r="B645" s="12"/>
      <c r="C645" s="12"/>
      <c r="D645" s="12"/>
      <c r="E645" s="12"/>
      <c r="F645" s="12"/>
    </row>
    <row r="646" spans="1:6" ht="12.5" customHeight="1">
      <c r="A646" s="12"/>
      <c r="B646" s="12"/>
      <c r="C646" s="12"/>
      <c r="D646" s="12"/>
      <c r="E646" s="12"/>
      <c r="F646" s="12"/>
    </row>
    <row r="647" spans="1:6" ht="12.5" customHeight="1">
      <c r="A647" s="12"/>
      <c r="B647" s="12"/>
      <c r="C647" s="12"/>
      <c r="D647" s="12"/>
      <c r="E647" s="12"/>
      <c r="F647" s="12"/>
    </row>
    <row r="648" spans="1:6" ht="12.5" customHeight="1">
      <c r="A648" s="12"/>
      <c r="B648" s="12"/>
      <c r="C648" s="12"/>
      <c r="D648" s="12"/>
      <c r="E648" s="12"/>
      <c r="F648" s="12"/>
    </row>
    <row r="649" spans="1:6" ht="12.5" customHeight="1">
      <c r="A649" s="12"/>
      <c r="B649" s="12"/>
      <c r="C649" s="12"/>
      <c r="D649" s="12"/>
      <c r="E649" s="12"/>
      <c r="F649" s="12"/>
    </row>
    <row r="650" spans="1:6" ht="12.5" customHeight="1">
      <c r="A650" s="12"/>
      <c r="B650" s="12"/>
      <c r="C650" s="12"/>
      <c r="D650" s="12"/>
      <c r="E650" s="12"/>
      <c r="F650" s="12"/>
    </row>
    <row r="651" spans="1:6" ht="12.5" customHeight="1">
      <c r="A651" s="12"/>
      <c r="B651" s="12"/>
      <c r="C651" s="12"/>
      <c r="D651" s="12"/>
      <c r="E651" s="12"/>
      <c r="F651" s="12"/>
    </row>
    <row r="652" spans="1:6" ht="12.5" customHeight="1">
      <c r="A652" s="12"/>
      <c r="B652" s="12"/>
      <c r="C652" s="12"/>
      <c r="D652" s="12"/>
      <c r="E652" s="12"/>
      <c r="F652" s="12"/>
    </row>
    <row r="653" spans="1:6" ht="12.5" customHeight="1">
      <c r="A653" s="12"/>
      <c r="B653" s="12"/>
      <c r="C653" s="12"/>
      <c r="D653" s="12"/>
      <c r="E653" s="12"/>
      <c r="F653" s="12"/>
    </row>
    <row r="654" spans="1:6" ht="12.5" customHeight="1">
      <c r="A654" s="12"/>
      <c r="B654" s="12"/>
      <c r="C654" s="12"/>
      <c r="D654" s="12"/>
      <c r="E654" s="12"/>
      <c r="F654" s="12"/>
    </row>
    <row r="655" spans="1:6" ht="12.5" customHeight="1">
      <c r="A655" s="12"/>
      <c r="B655" s="12"/>
      <c r="C655" s="12"/>
      <c r="D655" s="12"/>
      <c r="E655" s="12"/>
      <c r="F655" s="12"/>
    </row>
    <row r="656" spans="1:6" ht="12.5" customHeight="1">
      <c r="A656" s="12"/>
      <c r="B656" s="12"/>
      <c r="C656" s="12"/>
      <c r="D656" s="12"/>
      <c r="E656" s="12"/>
      <c r="F656" s="12"/>
    </row>
    <row r="657" spans="1:6" ht="12.5" customHeight="1">
      <c r="A657" s="12"/>
      <c r="B657" s="12"/>
      <c r="C657" s="12"/>
      <c r="D657" s="12"/>
      <c r="E657" s="12"/>
      <c r="F657" s="12"/>
    </row>
    <row r="658" spans="1:6" ht="12.5" customHeight="1">
      <c r="A658" s="12"/>
      <c r="B658" s="12"/>
      <c r="C658" s="12"/>
      <c r="D658" s="12"/>
      <c r="E658" s="12"/>
      <c r="F658" s="12"/>
    </row>
    <row r="659" spans="1:6" ht="12.5" customHeight="1">
      <c r="A659" s="12"/>
      <c r="B659" s="12"/>
      <c r="C659" s="12"/>
      <c r="D659" s="12"/>
      <c r="E659" s="12"/>
      <c r="F659" s="12"/>
    </row>
    <row r="660" spans="1:6" ht="12.5" customHeight="1">
      <c r="A660" s="12"/>
      <c r="B660" s="12"/>
      <c r="C660" s="12"/>
      <c r="D660" s="12"/>
      <c r="E660" s="12"/>
      <c r="F660" s="12"/>
    </row>
    <row r="661" spans="1:6" ht="12.5" customHeight="1">
      <c r="A661" s="12"/>
      <c r="B661" s="12"/>
      <c r="C661" s="12"/>
      <c r="D661" s="12"/>
      <c r="E661" s="12"/>
      <c r="F661" s="12"/>
    </row>
    <row r="662" spans="1:6" ht="12.5" customHeight="1">
      <c r="A662" s="12"/>
      <c r="B662" s="12"/>
      <c r="C662" s="12"/>
      <c r="D662" s="12"/>
      <c r="E662" s="12"/>
      <c r="F662" s="12"/>
    </row>
    <row r="663" spans="1:6" ht="12.5" customHeight="1">
      <c r="A663" s="12"/>
      <c r="B663" s="12"/>
      <c r="C663" s="12"/>
      <c r="D663" s="12"/>
      <c r="E663" s="12"/>
      <c r="F663" s="12"/>
    </row>
    <row r="664" spans="1:6" ht="12.5" customHeight="1">
      <c r="A664" s="12"/>
      <c r="B664" s="12"/>
      <c r="C664" s="12"/>
      <c r="D664" s="12"/>
      <c r="E664" s="12"/>
      <c r="F664" s="12"/>
    </row>
    <row r="665" spans="1:6" ht="12.5" customHeight="1">
      <c r="A665" s="12"/>
      <c r="B665" s="12"/>
      <c r="C665" s="12"/>
      <c r="D665" s="12"/>
      <c r="E665" s="12"/>
      <c r="F665" s="12"/>
    </row>
    <row r="666" spans="1:6" ht="12.5" customHeight="1">
      <c r="A666" s="12"/>
      <c r="B666" s="12"/>
      <c r="C666" s="12"/>
      <c r="D666" s="12"/>
      <c r="E666" s="12"/>
      <c r="F666" s="12"/>
    </row>
    <row r="667" spans="1:6" ht="12.5" customHeight="1">
      <c r="A667" s="12"/>
      <c r="B667" s="12"/>
      <c r="C667" s="12"/>
      <c r="D667" s="12"/>
      <c r="E667" s="12"/>
      <c r="F667" s="12"/>
    </row>
    <row r="668" spans="1:6" ht="12.5" customHeight="1">
      <c r="A668" s="12"/>
      <c r="B668" s="12"/>
      <c r="C668" s="12"/>
      <c r="D668" s="12"/>
      <c r="E668" s="12"/>
      <c r="F668" s="12"/>
    </row>
    <row r="669" spans="1:6" ht="12.5" customHeight="1">
      <c r="A669" s="12"/>
      <c r="B669" s="12"/>
      <c r="C669" s="12"/>
      <c r="D669" s="12"/>
      <c r="E669" s="12"/>
      <c r="F669" s="12"/>
    </row>
    <row r="670" spans="1:6" ht="12.5" customHeight="1">
      <c r="A670" s="12"/>
      <c r="B670" s="12"/>
      <c r="C670" s="12"/>
      <c r="D670" s="12"/>
      <c r="E670" s="12"/>
      <c r="F670" s="12"/>
    </row>
    <row r="671" spans="1:6" ht="12.5" customHeight="1">
      <c r="A671" s="12"/>
      <c r="B671" s="12"/>
      <c r="C671" s="12"/>
      <c r="D671" s="12"/>
      <c r="E671" s="12"/>
      <c r="F671" s="12"/>
    </row>
    <row r="672" spans="1:6" ht="12.5" customHeight="1">
      <c r="A672" s="12"/>
      <c r="B672" s="12"/>
      <c r="C672" s="12"/>
      <c r="D672" s="12"/>
      <c r="E672" s="12"/>
      <c r="F672" s="12"/>
    </row>
    <row r="673" spans="1:6" ht="12.5" customHeight="1">
      <c r="A673" s="12"/>
      <c r="B673" s="12"/>
      <c r="C673" s="12"/>
      <c r="D673" s="12"/>
      <c r="E673" s="12"/>
      <c r="F673" s="12"/>
    </row>
    <row r="674" spans="1:6" ht="12.5" customHeight="1">
      <c r="A674" s="12"/>
      <c r="B674" s="12"/>
      <c r="C674" s="12"/>
      <c r="D674" s="12"/>
      <c r="E674" s="12"/>
      <c r="F674" s="12"/>
    </row>
    <row r="675" spans="1:6" ht="12.5" customHeight="1">
      <c r="A675" s="12"/>
      <c r="B675" s="12"/>
      <c r="C675" s="12"/>
      <c r="D675" s="12"/>
      <c r="E675" s="12"/>
      <c r="F675" s="12"/>
    </row>
    <row r="676" spans="1:6" ht="12.5" customHeight="1">
      <c r="A676" s="12"/>
      <c r="B676" s="12"/>
      <c r="C676" s="12"/>
      <c r="D676" s="12"/>
      <c r="E676" s="12"/>
      <c r="F676" s="12"/>
    </row>
    <row r="677" spans="1:6" ht="12.5" customHeight="1">
      <c r="A677" s="12"/>
      <c r="B677" s="12"/>
      <c r="C677" s="12"/>
      <c r="D677" s="12"/>
      <c r="E677" s="12"/>
      <c r="F677" s="12"/>
    </row>
    <row r="678" spans="1:6" ht="12.5" customHeight="1">
      <c r="A678" s="12"/>
      <c r="B678" s="12"/>
      <c r="C678" s="12"/>
      <c r="D678" s="12"/>
      <c r="E678" s="12"/>
      <c r="F678" s="12"/>
    </row>
    <row r="679" spans="1:6" ht="12.5" customHeight="1">
      <c r="A679" s="12"/>
      <c r="B679" s="12"/>
      <c r="C679" s="12"/>
      <c r="D679" s="12"/>
      <c r="E679" s="12"/>
      <c r="F679" s="12"/>
    </row>
    <row r="680" spans="1:6" ht="12.5" customHeight="1">
      <c r="A680" s="12"/>
      <c r="B680" s="12"/>
      <c r="C680" s="12"/>
      <c r="D680" s="12"/>
      <c r="E680" s="12"/>
      <c r="F680" s="12"/>
    </row>
    <row r="681" spans="1:6" ht="12.5" customHeight="1">
      <c r="A681" s="12"/>
      <c r="B681" s="12"/>
      <c r="C681" s="12"/>
      <c r="D681" s="12"/>
      <c r="E681" s="12"/>
      <c r="F681" s="12"/>
    </row>
    <row r="682" spans="1:6" ht="12.5" customHeight="1">
      <c r="A682" s="12"/>
      <c r="B682" s="12"/>
      <c r="C682" s="12"/>
      <c r="D682" s="12"/>
      <c r="E682" s="12"/>
      <c r="F682" s="12"/>
    </row>
    <row r="683" spans="1:6" ht="12.5" customHeight="1">
      <c r="A683" s="12"/>
      <c r="B683" s="12"/>
      <c r="C683" s="12"/>
      <c r="D683" s="12"/>
      <c r="E683" s="12"/>
      <c r="F683" s="12"/>
    </row>
    <row r="684" spans="1:6" ht="12.5" customHeight="1">
      <c r="A684" s="12"/>
      <c r="B684" s="12"/>
      <c r="C684" s="12"/>
      <c r="D684" s="12"/>
      <c r="E684" s="12"/>
      <c r="F684" s="12"/>
    </row>
    <row r="685" spans="1:6" ht="12.5" customHeight="1">
      <c r="A685" s="12"/>
      <c r="B685" s="12"/>
      <c r="C685" s="12"/>
      <c r="D685" s="12"/>
      <c r="E685" s="12"/>
      <c r="F685" s="12"/>
    </row>
    <row r="686" spans="1:6" ht="12.5" customHeight="1">
      <c r="A686" s="12"/>
      <c r="B686" s="12"/>
      <c r="C686" s="12"/>
      <c r="D686" s="12"/>
      <c r="E686" s="12"/>
      <c r="F686" s="12"/>
    </row>
    <row r="687" spans="1:6" ht="12.5" customHeight="1">
      <c r="A687" s="12"/>
      <c r="B687" s="12"/>
      <c r="C687" s="12"/>
      <c r="D687" s="12"/>
      <c r="E687" s="12"/>
      <c r="F687" s="12"/>
    </row>
    <row r="688" spans="1:6" ht="12.5" customHeight="1">
      <c r="A688" s="12"/>
      <c r="B688" s="12"/>
      <c r="C688" s="12"/>
      <c r="D688" s="12"/>
      <c r="E688" s="12"/>
      <c r="F688" s="12"/>
    </row>
    <row r="689" spans="1:6" ht="12.5" customHeight="1">
      <c r="A689" s="12"/>
      <c r="B689" s="12"/>
      <c r="C689" s="12"/>
      <c r="D689" s="12"/>
      <c r="E689" s="12"/>
      <c r="F689" s="12"/>
    </row>
    <row r="690" spans="1:6" ht="12.5" customHeight="1">
      <c r="A690" s="12"/>
      <c r="B690" s="12"/>
      <c r="C690" s="12"/>
      <c r="D690" s="12"/>
      <c r="E690" s="12"/>
      <c r="F690" s="12"/>
    </row>
    <row r="691" spans="1:6" ht="12.5" customHeight="1">
      <c r="A691" s="12"/>
      <c r="B691" s="12"/>
      <c r="C691" s="12"/>
      <c r="D691" s="12"/>
      <c r="E691" s="12"/>
      <c r="F691" s="12"/>
    </row>
    <row r="692" spans="1:6" ht="12.5" customHeight="1">
      <c r="A692" s="12"/>
      <c r="B692" s="12"/>
      <c r="C692" s="12"/>
      <c r="D692" s="12"/>
      <c r="E692" s="12"/>
      <c r="F692" s="12"/>
    </row>
    <row r="693" spans="1:6" ht="12.5" customHeight="1">
      <c r="A693" s="12"/>
      <c r="B693" s="12"/>
      <c r="C693" s="12"/>
      <c r="D693" s="12"/>
      <c r="E693" s="12"/>
      <c r="F693" s="12"/>
    </row>
    <row r="694" spans="1:6" ht="12.5" customHeight="1">
      <c r="A694" s="12"/>
      <c r="B694" s="12"/>
      <c r="C694" s="12"/>
      <c r="D694" s="12"/>
      <c r="E694" s="12"/>
      <c r="F694" s="12"/>
    </row>
    <row r="695" spans="1:6" ht="12.5" customHeight="1">
      <c r="A695" s="12"/>
      <c r="B695" s="12"/>
      <c r="C695" s="12"/>
      <c r="D695" s="12"/>
      <c r="E695" s="12"/>
      <c r="F695" s="12"/>
    </row>
    <row r="696" spans="1:6" ht="12.5" customHeight="1">
      <c r="A696" s="12"/>
      <c r="B696" s="12"/>
      <c r="C696" s="12"/>
      <c r="D696" s="12"/>
      <c r="E696" s="12"/>
      <c r="F696" s="12"/>
    </row>
    <row r="697" spans="1:6" ht="12.5" customHeight="1">
      <c r="A697" s="12"/>
      <c r="B697" s="12"/>
      <c r="C697" s="12"/>
      <c r="D697" s="12"/>
      <c r="E697" s="12"/>
      <c r="F697" s="12"/>
    </row>
    <row r="698" spans="1:6" ht="12.5" customHeight="1">
      <c r="A698" s="12"/>
      <c r="B698" s="12"/>
      <c r="C698" s="12"/>
      <c r="D698" s="12"/>
      <c r="E698" s="12"/>
      <c r="F698" s="12"/>
    </row>
    <row r="699" spans="1:6" ht="12.5" customHeight="1">
      <c r="A699" s="12"/>
      <c r="B699" s="12"/>
      <c r="C699" s="12"/>
      <c r="D699" s="12"/>
      <c r="E699" s="12"/>
      <c r="F699" s="12"/>
    </row>
    <row r="700" spans="1:6" ht="12.5" customHeight="1">
      <c r="A700" s="12"/>
      <c r="B700" s="12"/>
      <c r="C700" s="12"/>
      <c r="D700" s="12"/>
      <c r="E700" s="12"/>
      <c r="F700" s="12"/>
    </row>
    <row r="701" spans="1:6" ht="12.5" customHeight="1">
      <c r="A701" s="12"/>
      <c r="B701" s="12"/>
      <c r="C701" s="12"/>
      <c r="D701" s="12"/>
      <c r="E701" s="12"/>
      <c r="F701" s="12"/>
    </row>
    <row r="702" spans="1:6" ht="12.5" customHeight="1">
      <c r="A702" s="12"/>
      <c r="B702" s="12"/>
      <c r="C702" s="12"/>
      <c r="D702" s="12"/>
      <c r="E702" s="12"/>
      <c r="F702" s="12"/>
    </row>
    <row r="703" spans="1:6" ht="12.5" customHeight="1">
      <c r="A703" s="12"/>
      <c r="B703" s="12"/>
      <c r="C703" s="12"/>
      <c r="D703" s="12"/>
      <c r="E703" s="12"/>
      <c r="F703" s="12"/>
    </row>
    <row r="704" spans="1:6" ht="12.5" customHeight="1">
      <c r="A704" s="12"/>
      <c r="B704" s="12"/>
      <c r="C704" s="12"/>
      <c r="D704" s="12"/>
      <c r="E704" s="12"/>
      <c r="F704" s="12"/>
    </row>
    <row r="705" spans="1:6" ht="12.5" customHeight="1">
      <c r="A705" s="12"/>
      <c r="B705" s="12"/>
      <c r="C705" s="12"/>
      <c r="D705" s="12"/>
      <c r="E705" s="12"/>
      <c r="F705" s="12"/>
    </row>
    <row r="706" spans="1:6" ht="12.5" customHeight="1">
      <c r="A706" s="12"/>
      <c r="B706" s="12"/>
      <c r="C706" s="12"/>
      <c r="D706" s="12"/>
      <c r="E706" s="12"/>
      <c r="F706" s="12"/>
    </row>
    <row r="707" spans="1:6" ht="12.5" customHeight="1">
      <c r="A707" s="12"/>
      <c r="B707" s="12"/>
      <c r="C707" s="12"/>
      <c r="D707" s="12"/>
      <c r="E707" s="12"/>
      <c r="F707" s="12"/>
    </row>
    <row r="708" spans="1:6" ht="12.5" customHeight="1">
      <c r="A708" s="12"/>
      <c r="B708" s="12"/>
      <c r="C708" s="12"/>
      <c r="D708" s="12"/>
      <c r="E708" s="12"/>
      <c r="F708" s="12"/>
    </row>
    <row r="709" spans="1:6" ht="12.5" customHeight="1">
      <c r="A709" s="12"/>
      <c r="B709" s="12"/>
      <c r="C709" s="12"/>
      <c r="D709" s="12"/>
      <c r="E709" s="12"/>
      <c r="F709" s="12"/>
    </row>
    <row r="710" spans="1:6" ht="12.5" customHeight="1">
      <c r="A710" s="12"/>
      <c r="B710" s="12"/>
      <c r="C710" s="12"/>
      <c r="D710" s="12"/>
      <c r="E710" s="12"/>
      <c r="F710" s="12"/>
    </row>
    <row r="711" spans="1:6" ht="12.5" customHeight="1">
      <c r="A711" s="12"/>
      <c r="B711" s="12"/>
      <c r="C711" s="12"/>
      <c r="D711" s="12"/>
      <c r="E711" s="12"/>
      <c r="F711" s="12"/>
    </row>
    <row r="712" spans="1:6" ht="12.5" customHeight="1">
      <c r="A712" s="12"/>
      <c r="B712" s="12"/>
      <c r="C712" s="12"/>
      <c r="D712" s="12"/>
      <c r="E712" s="12"/>
      <c r="F712" s="12"/>
    </row>
    <row r="713" spans="1:6" ht="12.5" customHeight="1">
      <c r="A713" s="12"/>
      <c r="B713" s="12"/>
      <c r="C713" s="12"/>
      <c r="D713" s="12"/>
      <c r="E713" s="12"/>
      <c r="F713" s="12"/>
    </row>
    <row r="714" spans="1:6" ht="12.5" customHeight="1">
      <c r="A714" s="12"/>
      <c r="B714" s="12"/>
      <c r="C714" s="12"/>
      <c r="D714" s="12"/>
      <c r="E714" s="12"/>
      <c r="F714" s="12"/>
    </row>
    <row r="715" spans="1:6" ht="12.5" customHeight="1">
      <c r="A715" s="12"/>
      <c r="B715" s="12"/>
      <c r="C715" s="12"/>
      <c r="D715" s="12"/>
      <c r="E715" s="12"/>
      <c r="F715" s="12"/>
    </row>
    <row r="716" spans="1:6" ht="12.5" customHeight="1">
      <c r="A716" s="12"/>
      <c r="B716" s="12"/>
      <c r="C716" s="12"/>
      <c r="D716" s="12"/>
      <c r="E716" s="12"/>
      <c r="F716" s="12"/>
    </row>
    <row r="717" spans="1:6" ht="12.5" customHeight="1">
      <c r="A717" s="12"/>
      <c r="B717" s="12"/>
      <c r="C717" s="12"/>
      <c r="D717" s="12"/>
      <c r="E717" s="12"/>
      <c r="F717" s="12"/>
    </row>
    <row r="718" spans="1:6" ht="12.5" customHeight="1">
      <c r="A718" s="12"/>
      <c r="B718" s="12"/>
      <c r="C718" s="12"/>
      <c r="D718" s="12"/>
      <c r="E718" s="12"/>
      <c r="F718" s="12"/>
    </row>
    <row r="719" spans="1:6" ht="12.5" customHeight="1">
      <c r="A719" s="12"/>
      <c r="B719" s="12"/>
      <c r="C719" s="12"/>
      <c r="D719" s="12"/>
      <c r="E719" s="12"/>
      <c r="F719" s="12"/>
    </row>
    <row r="720" spans="1:6" ht="12.5" customHeight="1">
      <c r="A720" s="12"/>
      <c r="B720" s="12"/>
      <c r="C720" s="12"/>
      <c r="D720" s="12"/>
      <c r="E720" s="12"/>
      <c r="F720" s="12"/>
    </row>
    <row r="721" spans="1:6" ht="12.5" customHeight="1">
      <c r="A721" s="12"/>
      <c r="B721" s="12"/>
      <c r="C721" s="12"/>
      <c r="D721" s="12"/>
      <c r="E721" s="12"/>
      <c r="F721" s="12"/>
    </row>
    <row r="722" spans="1:6" ht="12.5" customHeight="1">
      <c r="A722" s="12"/>
      <c r="B722" s="12"/>
      <c r="C722" s="12"/>
      <c r="D722" s="12"/>
      <c r="E722" s="12"/>
      <c r="F722" s="12"/>
    </row>
    <row r="723" spans="1:6" ht="12.5" customHeight="1">
      <c r="A723" s="12"/>
      <c r="B723" s="12"/>
      <c r="C723" s="12"/>
      <c r="D723" s="12"/>
      <c r="E723" s="12"/>
      <c r="F723" s="12"/>
    </row>
    <row r="724" spans="1:6" ht="12.5" customHeight="1">
      <c r="A724" s="12"/>
      <c r="B724" s="12"/>
      <c r="C724" s="12"/>
      <c r="D724" s="12"/>
      <c r="E724" s="12"/>
      <c r="F724" s="12"/>
    </row>
    <row r="725" spans="1:6" ht="12.5" customHeight="1">
      <c r="A725" s="12"/>
      <c r="B725" s="12"/>
      <c r="C725" s="12"/>
      <c r="D725" s="12"/>
      <c r="E725" s="12"/>
      <c r="F725" s="12"/>
    </row>
    <row r="726" spans="1:6" ht="12.5" customHeight="1">
      <c r="A726" s="12"/>
      <c r="B726" s="12"/>
      <c r="C726" s="12"/>
      <c r="D726" s="12"/>
      <c r="E726" s="12"/>
      <c r="F726" s="12"/>
    </row>
    <row r="727" spans="1:6" ht="12.5" customHeight="1">
      <c r="A727" s="12"/>
      <c r="B727" s="12"/>
      <c r="C727" s="12"/>
      <c r="D727" s="12"/>
      <c r="E727" s="12"/>
      <c r="F727" s="12"/>
    </row>
    <row r="728" spans="1:6" ht="12.5" customHeight="1">
      <c r="A728" s="12"/>
      <c r="B728" s="12"/>
      <c r="C728" s="12"/>
      <c r="D728" s="12"/>
      <c r="E728" s="12"/>
      <c r="F728" s="12"/>
    </row>
    <row r="729" spans="1:6" ht="12.5" customHeight="1">
      <c r="A729" s="12"/>
      <c r="B729" s="12"/>
      <c r="C729" s="12"/>
      <c r="D729" s="12"/>
      <c r="E729" s="12"/>
      <c r="F729" s="12"/>
    </row>
    <row r="730" spans="1:6" ht="12.5" customHeight="1">
      <c r="A730" s="12"/>
      <c r="B730" s="12"/>
      <c r="C730" s="12"/>
      <c r="D730" s="12"/>
      <c r="E730" s="12"/>
      <c r="F730" s="12"/>
    </row>
    <row r="731" spans="1:6" ht="12.5" customHeight="1">
      <c r="A731" s="12"/>
      <c r="B731" s="12"/>
      <c r="C731" s="12"/>
      <c r="D731" s="12"/>
      <c r="E731" s="12"/>
      <c r="F731" s="12"/>
    </row>
    <row r="732" spans="1:6" ht="12.5" customHeight="1">
      <c r="A732" s="12"/>
      <c r="B732" s="12"/>
      <c r="C732" s="12"/>
      <c r="D732" s="12"/>
      <c r="E732" s="12"/>
      <c r="F732" s="12"/>
    </row>
    <row r="733" spans="1:6" ht="12.5" customHeight="1">
      <c r="A733" s="12"/>
      <c r="B733" s="12"/>
      <c r="C733" s="12"/>
      <c r="D733" s="12"/>
      <c r="E733" s="12"/>
      <c r="F733" s="12"/>
    </row>
    <row r="734" spans="1:6" ht="12.5" customHeight="1">
      <c r="A734" s="12"/>
      <c r="B734" s="12"/>
      <c r="C734" s="12"/>
      <c r="D734" s="12"/>
      <c r="E734" s="12"/>
      <c r="F734" s="12"/>
    </row>
    <row r="735" spans="1:6" ht="12.5" customHeight="1">
      <c r="A735" s="12"/>
      <c r="B735" s="12"/>
      <c r="C735" s="12"/>
      <c r="D735" s="12"/>
      <c r="E735" s="12"/>
      <c r="F735" s="12"/>
    </row>
    <row r="736" spans="1:6" ht="12.5" customHeight="1">
      <c r="A736" s="12"/>
      <c r="B736" s="12"/>
      <c r="C736" s="12"/>
      <c r="D736" s="12"/>
      <c r="E736" s="12"/>
      <c r="F736" s="12"/>
    </row>
    <row r="737" spans="1:6" ht="12.5" customHeight="1">
      <c r="A737" s="12"/>
      <c r="B737" s="12"/>
      <c r="C737" s="12"/>
      <c r="D737" s="12"/>
      <c r="E737" s="12"/>
      <c r="F737" s="12"/>
    </row>
    <row r="738" spans="1:6" ht="12.5" customHeight="1">
      <c r="A738" s="12"/>
      <c r="B738" s="12"/>
      <c r="C738" s="12"/>
      <c r="D738" s="12"/>
      <c r="E738" s="12"/>
      <c r="F738" s="12"/>
    </row>
    <row r="739" spans="1:6" ht="12.5" customHeight="1">
      <c r="A739" s="12"/>
      <c r="B739" s="12"/>
      <c r="C739" s="12"/>
      <c r="D739" s="12"/>
      <c r="E739" s="12"/>
      <c r="F739" s="12"/>
    </row>
    <row r="740" spans="1:6" ht="12.5" customHeight="1">
      <c r="A740" s="12"/>
      <c r="B740" s="12"/>
      <c r="C740" s="12"/>
      <c r="D740" s="12"/>
      <c r="E740" s="12"/>
      <c r="F740" s="12"/>
    </row>
    <row r="741" spans="1:6" ht="12.5" customHeight="1">
      <c r="A741" s="12"/>
      <c r="B741" s="12"/>
      <c r="C741" s="12"/>
      <c r="D741" s="12"/>
      <c r="E741" s="12"/>
      <c r="F741" s="12"/>
    </row>
    <row r="742" spans="1:6" ht="12.5" customHeight="1">
      <c r="A742" s="12"/>
      <c r="B742" s="12"/>
      <c r="C742" s="12"/>
      <c r="D742" s="12"/>
      <c r="E742" s="12"/>
      <c r="F742" s="12"/>
    </row>
    <row r="743" spans="1:6" ht="12.5" customHeight="1">
      <c r="A743" s="12"/>
      <c r="B743" s="12"/>
      <c r="C743" s="12"/>
      <c r="D743" s="12"/>
      <c r="E743" s="12"/>
      <c r="F743" s="12"/>
    </row>
    <row r="744" spans="1:6" ht="12.5" customHeight="1">
      <c r="A744" s="12"/>
      <c r="B744" s="12"/>
      <c r="C744" s="12"/>
      <c r="D744" s="12"/>
      <c r="E744" s="12"/>
      <c r="F744" s="12"/>
    </row>
    <row r="745" spans="1:6" ht="12.5" customHeight="1">
      <c r="A745" s="12"/>
      <c r="B745" s="12"/>
      <c r="C745" s="12"/>
      <c r="D745" s="12"/>
      <c r="E745" s="12"/>
      <c r="F745" s="12"/>
    </row>
    <row r="746" spans="1:6" ht="12.5" customHeight="1">
      <c r="A746" s="12"/>
      <c r="B746" s="12"/>
      <c r="C746" s="12"/>
      <c r="D746" s="12"/>
      <c r="E746" s="12"/>
      <c r="F746" s="12"/>
    </row>
    <row r="747" spans="1:6" ht="12.5" customHeight="1">
      <c r="A747" s="12"/>
      <c r="B747" s="12"/>
      <c r="C747" s="12"/>
      <c r="D747" s="12"/>
      <c r="E747" s="12"/>
      <c r="F747" s="12"/>
    </row>
    <row r="748" spans="1:6" ht="12.5" customHeight="1">
      <c r="A748" s="12"/>
      <c r="B748" s="12"/>
      <c r="C748" s="12"/>
      <c r="D748" s="12"/>
      <c r="E748" s="12"/>
      <c r="F748" s="12"/>
    </row>
    <row r="749" spans="1:6" ht="12.5" customHeight="1">
      <c r="A749" s="12"/>
      <c r="B749" s="12"/>
      <c r="C749" s="12"/>
      <c r="D749" s="12"/>
      <c r="E749" s="12"/>
      <c r="F749" s="12"/>
    </row>
    <row r="750" spans="1:6" ht="12.5" customHeight="1">
      <c r="A750" s="12"/>
      <c r="B750" s="12"/>
      <c r="C750" s="12"/>
      <c r="D750" s="12"/>
      <c r="E750" s="12"/>
      <c r="F750" s="12"/>
    </row>
    <row r="751" spans="1:6" ht="12.5" customHeight="1">
      <c r="A751" s="12"/>
      <c r="B751" s="12"/>
      <c r="C751" s="12"/>
      <c r="D751" s="12"/>
      <c r="E751" s="12"/>
      <c r="F751" s="12"/>
    </row>
    <row r="752" spans="1:6" ht="12.5" customHeight="1">
      <c r="A752" s="12"/>
      <c r="B752" s="12"/>
      <c r="C752" s="12"/>
      <c r="D752" s="12"/>
      <c r="E752" s="12"/>
      <c r="F752" s="12"/>
    </row>
    <row r="753" spans="1:6" ht="12.5" customHeight="1">
      <c r="A753" s="12"/>
      <c r="B753" s="12"/>
      <c r="C753" s="12"/>
      <c r="D753" s="12"/>
      <c r="E753" s="12"/>
      <c r="F753" s="12"/>
    </row>
    <row r="754" spans="1:6" ht="12.5" customHeight="1">
      <c r="A754" s="12"/>
      <c r="B754" s="12"/>
      <c r="C754" s="12"/>
      <c r="D754" s="12"/>
      <c r="E754" s="12"/>
      <c r="F754" s="12"/>
    </row>
    <row r="755" spans="1:6" ht="12.5" customHeight="1">
      <c r="A755" s="12"/>
      <c r="B755" s="12"/>
      <c r="C755" s="12"/>
      <c r="D755" s="12"/>
      <c r="E755" s="12"/>
      <c r="F755" s="12"/>
    </row>
    <row r="756" spans="1:6" ht="12.5" customHeight="1">
      <c r="A756" s="12"/>
      <c r="B756" s="12"/>
      <c r="C756" s="12"/>
      <c r="D756" s="12"/>
      <c r="E756" s="12"/>
      <c r="F756" s="12"/>
    </row>
    <row r="757" spans="1:6" ht="12.5" customHeight="1">
      <c r="A757" s="12"/>
      <c r="B757" s="12"/>
      <c r="C757" s="12"/>
      <c r="D757" s="12"/>
      <c r="E757" s="12"/>
      <c r="F757" s="12"/>
    </row>
    <row r="758" spans="1:6" ht="12.5" customHeight="1">
      <c r="A758" s="12"/>
      <c r="B758" s="12"/>
      <c r="C758" s="12"/>
      <c r="D758" s="12"/>
      <c r="E758" s="12"/>
      <c r="F758" s="12"/>
    </row>
    <row r="759" spans="1:6" ht="12.5" customHeight="1">
      <c r="A759" s="12"/>
      <c r="B759" s="12"/>
      <c r="C759" s="12"/>
      <c r="D759" s="12"/>
      <c r="E759" s="12"/>
      <c r="F759" s="12"/>
    </row>
    <row r="760" spans="1:6" ht="12.5" customHeight="1">
      <c r="A760" s="12"/>
      <c r="B760" s="12"/>
      <c r="C760" s="12"/>
      <c r="D760" s="12"/>
      <c r="E760" s="12"/>
      <c r="F760" s="12"/>
    </row>
    <row r="761" spans="1:6" ht="12.5" customHeight="1">
      <c r="A761" s="12"/>
      <c r="B761" s="12"/>
      <c r="C761" s="12"/>
      <c r="D761" s="12"/>
      <c r="E761" s="12"/>
      <c r="F761" s="12"/>
    </row>
    <row r="762" spans="1:6" ht="12.5" customHeight="1">
      <c r="A762" s="12"/>
      <c r="B762" s="12"/>
      <c r="C762" s="12"/>
      <c r="D762" s="12"/>
      <c r="E762" s="12"/>
      <c r="F762" s="12"/>
    </row>
    <row r="763" spans="1:6" ht="12.5" customHeight="1">
      <c r="A763" s="12"/>
      <c r="B763" s="12"/>
      <c r="C763" s="12"/>
      <c r="D763" s="12"/>
      <c r="E763" s="12"/>
      <c r="F763" s="12"/>
    </row>
    <row r="764" spans="1:6" ht="12.5" customHeight="1">
      <c r="A764" s="12"/>
      <c r="B764" s="12"/>
      <c r="C764" s="12"/>
      <c r="D764" s="12"/>
      <c r="E764" s="12"/>
      <c r="F764" s="12"/>
    </row>
    <row r="765" spans="1:6" ht="12.5" customHeight="1">
      <c r="A765" s="12"/>
      <c r="B765" s="12"/>
      <c r="C765" s="12"/>
      <c r="D765" s="12"/>
      <c r="E765" s="12"/>
      <c r="F765" s="12"/>
    </row>
    <row r="766" spans="1:6" ht="12.5" customHeight="1">
      <c r="A766" s="12"/>
      <c r="B766" s="12"/>
      <c r="C766" s="12"/>
      <c r="D766" s="12"/>
      <c r="E766" s="12"/>
      <c r="F766" s="12"/>
    </row>
    <row r="767" spans="1:6" ht="12.5" customHeight="1">
      <c r="A767" s="12"/>
      <c r="B767" s="12"/>
      <c r="C767" s="12"/>
      <c r="D767" s="12"/>
      <c r="E767" s="12"/>
      <c r="F767" s="12"/>
    </row>
    <row r="768" spans="1:6" ht="12.5" customHeight="1">
      <c r="A768" s="12"/>
      <c r="B768" s="12"/>
      <c r="C768" s="12"/>
      <c r="D768" s="12"/>
      <c r="E768" s="12"/>
      <c r="F768" s="12"/>
    </row>
    <row r="769" spans="1:6" ht="12.5" customHeight="1">
      <c r="A769" s="12"/>
      <c r="B769" s="12"/>
      <c r="C769" s="12"/>
      <c r="D769" s="12"/>
      <c r="E769" s="12"/>
      <c r="F769" s="12"/>
    </row>
    <row r="770" spans="1:6" ht="12.5" customHeight="1">
      <c r="A770" s="12"/>
      <c r="B770" s="12"/>
      <c r="C770" s="12"/>
      <c r="D770" s="12"/>
      <c r="E770" s="12"/>
      <c r="F770" s="12"/>
    </row>
    <row r="771" spans="1:6" ht="12.5" customHeight="1">
      <c r="A771" s="12"/>
      <c r="B771" s="12"/>
      <c r="C771" s="12"/>
      <c r="D771" s="12"/>
      <c r="E771" s="12"/>
      <c r="F771" s="12"/>
    </row>
    <row r="772" spans="1:6" ht="12.5" customHeight="1">
      <c r="A772" s="12"/>
      <c r="B772" s="12"/>
      <c r="C772" s="12"/>
      <c r="D772" s="12"/>
      <c r="E772" s="12"/>
      <c r="F772" s="12"/>
    </row>
    <row r="773" spans="1:6" ht="12.5" customHeight="1">
      <c r="A773" s="12"/>
      <c r="B773" s="12"/>
      <c r="C773" s="12"/>
      <c r="D773" s="12"/>
      <c r="E773" s="12"/>
      <c r="F773" s="12"/>
    </row>
    <row r="774" spans="1:6" ht="12.5" customHeight="1">
      <c r="A774" s="12"/>
      <c r="B774" s="12"/>
      <c r="C774" s="12"/>
      <c r="D774" s="12"/>
      <c r="E774" s="12"/>
      <c r="F774" s="12"/>
    </row>
    <row r="775" spans="1:6" ht="12.5" customHeight="1">
      <c r="A775" s="12"/>
      <c r="B775" s="12"/>
      <c r="C775" s="12"/>
      <c r="D775" s="12"/>
      <c r="E775" s="12"/>
      <c r="F775" s="12"/>
    </row>
    <row r="776" spans="1:6" ht="12.5" customHeight="1">
      <c r="A776" s="12"/>
      <c r="B776" s="12"/>
      <c r="C776" s="12"/>
      <c r="D776" s="12"/>
      <c r="E776" s="12"/>
      <c r="F776" s="12"/>
    </row>
    <row r="777" spans="1:6" ht="12.5" customHeight="1">
      <c r="A777" s="12"/>
      <c r="B777" s="12"/>
      <c r="C777" s="12"/>
      <c r="D777" s="12"/>
      <c r="E777" s="12"/>
      <c r="F777" s="12"/>
    </row>
    <row r="778" spans="1:6" ht="12.5" customHeight="1">
      <c r="A778" s="12"/>
      <c r="B778" s="12"/>
      <c r="C778" s="12"/>
      <c r="D778" s="12"/>
      <c r="E778" s="12"/>
      <c r="F778" s="12"/>
    </row>
    <row r="779" spans="1:6" ht="12.5" customHeight="1">
      <c r="A779" s="12"/>
      <c r="B779" s="12"/>
      <c r="C779" s="12"/>
      <c r="D779" s="12"/>
      <c r="E779" s="12"/>
      <c r="F779" s="12"/>
    </row>
    <row r="780" spans="1:6" ht="12.5" customHeight="1">
      <c r="A780" s="12"/>
      <c r="B780" s="12"/>
      <c r="C780" s="12"/>
      <c r="D780" s="12"/>
      <c r="E780" s="12"/>
      <c r="F780" s="12"/>
    </row>
    <row r="781" spans="1:6" ht="12.5" customHeight="1">
      <c r="A781" s="12"/>
      <c r="B781" s="12"/>
      <c r="C781" s="12"/>
      <c r="D781" s="12"/>
      <c r="E781" s="12"/>
      <c r="F781" s="12"/>
    </row>
    <row r="782" spans="1:6" ht="12.5" customHeight="1">
      <c r="A782" s="12"/>
      <c r="B782" s="12"/>
      <c r="C782" s="12"/>
      <c r="D782" s="12"/>
      <c r="E782" s="12"/>
      <c r="F782" s="12"/>
    </row>
    <row r="783" spans="1:6" ht="12.5" customHeight="1">
      <c r="A783" s="12"/>
      <c r="B783" s="12"/>
      <c r="C783" s="12"/>
      <c r="D783" s="12"/>
      <c r="E783" s="12"/>
      <c r="F783" s="12"/>
    </row>
    <row r="784" spans="1:6" ht="12.5" customHeight="1">
      <c r="A784" s="12"/>
      <c r="B784" s="12"/>
      <c r="C784" s="12"/>
      <c r="D784" s="12"/>
      <c r="E784" s="12"/>
      <c r="F784" s="12"/>
    </row>
    <row r="785" spans="1:6" ht="12.5" customHeight="1">
      <c r="A785" s="12"/>
      <c r="B785" s="12"/>
      <c r="C785" s="12"/>
      <c r="D785" s="12"/>
      <c r="E785" s="12"/>
      <c r="F785" s="12"/>
    </row>
    <row r="786" spans="1:6" ht="12.5" customHeight="1">
      <c r="A786" s="12"/>
      <c r="B786" s="12"/>
      <c r="C786" s="12"/>
      <c r="D786" s="12"/>
      <c r="E786" s="12"/>
      <c r="F786" s="12"/>
    </row>
    <row r="787" spans="1:6" ht="12.5" customHeight="1">
      <c r="A787" s="12"/>
      <c r="B787" s="12"/>
      <c r="C787" s="12"/>
      <c r="D787" s="12"/>
      <c r="E787" s="12"/>
      <c r="F787" s="12"/>
    </row>
    <row r="788" spans="1:6" ht="12.5" customHeight="1">
      <c r="A788" s="12"/>
      <c r="B788" s="12"/>
      <c r="C788" s="12"/>
      <c r="D788" s="12"/>
      <c r="E788" s="12"/>
      <c r="F788" s="12"/>
    </row>
    <row r="789" spans="1:6" ht="12.5" customHeight="1">
      <c r="A789" s="12"/>
      <c r="B789" s="12"/>
      <c r="C789" s="12"/>
      <c r="D789" s="12"/>
      <c r="E789" s="12"/>
      <c r="F789" s="12"/>
    </row>
    <row r="790" spans="1:6" ht="12.5" customHeight="1">
      <c r="A790" s="12"/>
      <c r="B790" s="12"/>
      <c r="C790" s="12"/>
      <c r="D790" s="12"/>
      <c r="E790" s="12"/>
      <c r="F790" s="12"/>
    </row>
    <row r="791" spans="1:6" ht="12.5" customHeight="1">
      <c r="A791" s="12"/>
      <c r="B791" s="12"/>
      <c r="C791" s="12"/>
      <c r="D791" s="12"/>
      <c r="E791" s="12"/>
      <c r="F791" s="12"/>
    </row>
    <row r="792" spans="1:6" ht="12.5" customHeight="1">
      <c r="A792" s="12"/>
      <c r="B792" s="12"/>
      <c r="C792" s="12"/>
      <c r="D792" s="12"/>
      <c r="E792" s="12"/>
      <c r="F792" s="12"/>
    </row>
    <row r="793" spans="1:6" ht="12.5" customHeight="1">
      <c r="A793" s="12"/>
      <c r="B793" s="12"/>
      <c r="C793" s="12"/>
      <c r="D793" s="12"/>
      <c r="E793" s="12"/>
      <c r="F793" s="12"/>
    </row>
    <row r="794" spans="1:6" ht="12.5" customHeight="1">
      <c r="A794" s="12"/>
      <c r="B794" s="12"/>
      <c r="C794" s="12"/>
      <c r="D794" s="12"/>
      <c r="E794" s="12"/>
      <c r="F794" s="12"/>
    </row>
    <row r="795" spans="1:6" ht="12.5" customHeight="1">
      <c r="A795" s="12"/>
      <c r="B795" s="12"/>
      <c r="C795" s="12"/>
      <c r="D795" s="12"/>
      <c r="E795" s="12"/>
      <c r="F795" s="12"/>
    </row>
    <row r="796" spans="1:6" ht="12.5" customHeight="1">
      <c r="A796" s="12"/>
      <c r="B796" s="12"/>
      <c r="C796" s="12"/>
      <c r="D796" s="12"/>
      <c r="E796" s="12"/>
      <c r="F796" s="12"/>
    </row>
    <row r="797" spans="1:6" ht="12.5" customHeight="1">
      <c r="A797" s="12"/>
      <c r="B797" s="12"/>
      <c r="C797" s="12"/>
      <c r="D797" s="12"/>
      <c r="E797" s="12"/>
      <c r="F797" s="12"/>
    </row>
    <row r="798" spans="1:6" ht="12.5" customHeight="1">
      <c r="A798" s="12"/>
      <c r="B798" s="12"/>
      <c r="C798" s="12"/>
      <c r="D798" s="12"/>
      <c r="E798" s="12"/>
      <c r="F798" s="12"/>
    </row>
    <row r="799" spans="1:6" ht="12.5" customHeight="1">
      <c r="A799" s="12"/>
      <c r="B799" s="12"/>
      <c r="C799" s="12"/>
      <c r="D799" s="12"/>
      <c r="E799" s="12"/>
      <c r="F799" s="12"/>
    </row>
    <row r="800" spans="1:6" ht="12.5" customHeight="1">
      <c r="A800" s="12"/>
      <c r="B800" s="12"/>
      <c r="C800" s="12"/>
      <c r="D800" s="12"/>
      <c r="E800" s="12"/>
      <c r="F800" s="12"/>
    </row>
    <row r="801" spans="1:6" ht="12.5" customHeight="1">
      <c r="A801" s="12"/>
      <c r="B801" s="12"/>
      <c r="C801" s="12"/>
      <c r="D801" s="12"/>
      <c r="E801" s="12"/>
      <c r="F801" s="12"/>
    </row>
    <row r="802" spans="1:6" ht="12.5" customHeight="1">
      <c r="A802" s="12"/>
      <c r="B802" s="12"/>
      <c r="C802" s="12"/>
      <c r="D802" s="12"/>
      <c r="E802" s="12"/>
      <c r="F802" s="12"/>
    </row>
    <row r="803" spans="1:6" ht="12.5" customHeight="1">
      <c r="A803" s="12"/>
      <c r="B803" s="12"/>
      <c r="C803" s="12"/>
      <c r="D803" s="12"/>
      <c r="E803" s="12"/>
      <c r="F803" s="12"/>
    </row>
    <row r="804" spans="1:6" ht="12.5" customHeight="1">
      <c r="A804" s="12"/>
      <c r="B804" s="12"/>
      <c r="C804" s="12"/>
      <c r="D804" s="12"/>
      <c r="E804" s="12"/>
      <c r="F804" s="12"/>
    </row>
    <row r="805" spans="1:6" ht="12.5" customHeight="1">
      <c r="A805" s="12"/>
      <c r="B805" s="12"/>
      <c r="C805" s="12"/>
      <c r="D805" s="12"/>
      <c r="E805" s="12"/>
      <c r="F805" s="12"/>
    </row>
    <row r="806" spans="1:6" ht="12.5" customHeight="1">
      <c r="A806" s="12"/>
      <c r="B806" s="12"/>
      <c r="C806" s="12"/>
      <c r="D806" s="12"/>
      <c r="E806" s="12"/>
      <c r="F806" s="12"/>
    </row>
    <row r="807" spans="1:6" ht="12.5" customHeight="1">
      <c r="A807" s="12"/>
      <c r="B807" s="12"/>
      <c r="C807" s="12"/>
      <c r="D807" s="12"/>
      <c r="E807" s="12"/>
      <c r="F807" s="12"/>
    </row>
    <row r="808" spans="1:6" ht="12.5" customHeight="1">
      <c r="A808" s="12"/>
      <c r="B808" s="12"/>
      <c r="C808" s="12"/>
      <c r="D808" s="12"/>
      <c r="E808" s="12"/>
      <c r="F808" s="12"/>
    </row>
    <row r="809" spans="1:6" ht="12.5" customHeight="1">
      <c r="A809" s="12"/>
      <c r="B809" s="12"/>
      <c r="C809" s="12"/>
      <c r="D809" s="12"/>
      <c r="E809" s="12"/>
      <c r="F809" s="12"/>
    </row>
    <row r="810" spans="1:6" ht="12.5" customHeight="1">
      <c r="A810" s="12"/>
      <c r="B810" s="12"/>
      <c r="C810" s="12"/>
      <c r="D810" s="12"/>
      <c r="E810" s="12"/>
      <c r="F810" s="12"/>
    </row>
    <row r="811" spans="1:6" ht="12.5" customHeight="1">
      <c r="A811" s="12"/>
      <c r="B811" s="12"/>
      <c r="C811" s="12"/>
      <c r="D811" s="12"/>
      <c r="E811" s="12"/>
      <c r="F811" s="12"/>
    </row>
    <row r="812" spans="1:6" ht="12.5" customHeight="1">
      <c r="A812" s="12"/>
      <c r="B812" s="12"/>
      <c r="C812" s="12"/>
      <c r="D812" s="12"/>
      <c r="E812" s="12"/>
      <c r="F812" s="12"/>
    </row>
    <row r="813" spans="1:6" ht="12.5" customHeight="1">
      <c r="A813" s="12"/>
      <c r="B813" s="12"/>
      <c r="C813" s="12"/>
      <c r="D813" s="12"/>
      <c r="E813" s="12"/>
      <c r="F813" s="12"/>
    </row>
    <row r="814" spans="1:6" ht="12.5" customHeight="1">
      <c r="A814" s="12"/>
      <c r="B814" s="12"/>
      <c r="C814" s="12"/>
      <c r="D814" s="12"/>
      <c r="E814" s="12"/>
      <c r="F814" s="12"/>
    </row>
    <row r="815" spans="1:6" ht="12.5" customHeight="1">
      <c r="A815" s="12"/>
      <c r="B815" s="12"/>
      <c r="C815" s="12"/>
      <c r="D815" s="12"/>
      <c r="E815" s="12"/>
      <c r="F815" s="12"/>
    </row>
    <row r="816" spans="1:6" ht="12.5" customHeight="1">
      <c r="A816" s="12"/>
      <c r="B816" s="12"/>
      <c r="C816" s="12"/>
      <c r="D816" s="12"/>
      <c r="E816" s="12"/>
      <c r="F816" s="12"/>
    </row>
    <row r="817" spans="1:6" ht="12.5" customHeight="1">
      <c r="A817" s="12"/>
      <c r="B817" s="12"/>
      <c r="C817" s="12"/>
      <c r="D817" s="12"/>
      <c r="E817" s="12"/>
      <c r="F817" s="12"/>
    </row>
    <row r="818" spans="1:6" ht="12.5" customHeight="1">
      <c r="A818" s="12"/>
      <c r="B818" s="12"/>
      <c r="C818" s="12"/>
      <c r="D818" s="12"/>
      <c r="E818" s="12"/>
      <c r="F818" s="12"/>
    </row>
    <row r="819" spans="1:6" ht="12.5" customHeight="1">
      <c r="A819" s="12"/>
      <c r="B819" s="12"/>
      <c r="C819" s="12"/>
      <c r="D819" s="12"/>
      <c r="E819" s="12"/>
      <c r="F819" s="12"/>
    </row>
    <row r="820" spans="1:6" ht="12.5" customHeight="1">
      <c r="A820" s="12"/>
      <c r="B820" s="12"/>
      <c r="C820" s="12"/>
      <c r="D820" s="12"/>
      <c r="E820" s="12"/>
      <c r="F820" s="12"/>
    </row>
    <row r="821" spans="1:6" ht="12.5" customHeight="1">
      <c r="A821" s="12"/>
      <c r="B821" s="12"/>
      <c r="C821" s="12"/>
      <c r="D821" s="12"/>
      <c r="E821" s="12"/>
      <c r="F821" s="12"/>
    </row>
    <row r="822" spans="1:6" ht="12.5" customHeight="1">
      <c r="A822" s="12"/>
      <c r="B822" s="12"/>
      <c r="C822" s="12"/>
      <c r="D822" s="12"/>
      <c r="E822" s="12"/>
      <c r="F822" s="12"/>
    </row>
    <row r="823" spans="1:6" ht="12.5" customHeight="1">
      <c r="A823" s="12"/>
      <c r="B823" s="12"/>
      <c r="C823" s="12"/>
      <c r="D823" s="12"/>
      <c r="E823" s="12"/>
      <c r="F823" s="12"/>
    </row>
    <row r="824" spans="1:6" ht="12.5" customHeight="1">
      <c r="A824" s="12"/>
      <c r="B824" s="12"/>
      <c r="C824" s="12"/>
      <c r="D824" s="12"/>
      <c r="E824" s="12"/>
      <c r="F824" s="12"/>
    </row>
    <row r="825" spans="1:6" ht="12.5" customHeight="1">
      <c r="A825" s="12"/>
      <c r="B825" s="12"/>
      <c r="C825" s="12"/>
      <c r="D825" s="12"/>
      <c r="E825" s="12"/>
      <c r="F825" s="12"/>
    </row>
    <row r="826" spans="1:6" ht="12.5" customHeight="1">
      <c r="A826" s="12"/>
      <c r="B826" s="12"/>
      <c r="C826" s="12"/>
      <c r="D826" s="12"/>
      <c r="E826" s="12"/>
      <c r="F826" s="12"/>
    </row>
    <row r="827" spans="1:6" ht="12.5" customHeight="1">
      <c r="A827" s="12"/>
      <c r="B827" s="12"/>
      <c r="C827" s="12"/>
      <c r="D827" s="12"/>
      <c r="E827" s="12"/>
      <c r="F827" s="12"/>
    </row>
    <row r="828" spans="1:6" ht="12.5" customHeight="1">
      <c r="A828" s="12"/>
      <c r="B828" s="12"/>
      <c r="C828" s="12"/>
      <c r="D828" s="12"/>
      <c r="E828" s="12"/>
      <c r="F828" s="12"/>
    </row>
    <row r="829" spans="1:6" ht="12.5" customHeight="1">
      <c r="A829" s="12"/>
      <c r="B829" s="12"/>
      <c r="C829" s="12"/>
      <c r="D829" s="12"/>
      <c r="E829" s="12"/>
      <c r="F829" s="12"/>
    </row>
    <row r="830" spans="1:6" ht="12.5" customHeight="1">
      <c r="A830" s="12"/>
      <c r="B830" s="12"/>
      <c r="C830" s="12"/>
      <c r="D830" s="12"/>
      <c r="E830" s="12"/>
      <c r="F830" s="12"/>
    </row>
    <row r="831" spans="1:6" ht="12.5" customHeight="1">
      <c r="A831" s="12"/>
      <c r="B831" s="12"/>
      <c r="C831" s="12"/>
      <c r="D831" s="12"/>
      <c r="E831" s="12"/>
      <c r="F831" s="12"/>
    </row>
    <row r="832" spans="1:6" ht="12.5" customHeight="1">
      <c r="A832" s="12"/>
      <c r="B832" s="12"/>
      <c r="C832" s="12"/>
      <c r="D832" s="12"/>
      <c r="E832" s="12"/>
      <c r="F832" s="12"/>
    </row>
    <row r="833" spans="1:6" ht="12.5" customHeight="1">
      <c r="A833" s="12"/>
      <c r="B833" s="12"/>
      <c r="C833" s="12"/>
      <c r="D833" s="12"/>
      <c r="E833" s="12"/>
      <c r="F833" s="12"/>
    </row>
    <row r="834" spans="1:6" ht="12.5" customHeight="1">
      <c r="A834" s="12"/>
      <c r="B834" s="12"/>
      <c r="C834" s="12"/>
      <c r="D834" s="12"/>
      <c r="E834" s="12"/>
      <c r="F834" s="12"/>
    </row>
    <row r="835" spans="1:6" ht="12.5" customHeight="1">
      <c r="A835" s="12"/>
      <c r="B835" s="12"/>
      <c r="C835" s="12"/>
      <c r="D835" s="12"/>
      <c r="E835" s="12"/>
      <c r="F835" s="12"/>
    </row>
    <row r="836" spans="1:6" ht="12.5" customHeight="1">
      <c r="A836" s="12"/>
      <c r="B836" s="12"/>
      <c r="C836" s="12"/>
      <c r="D836" s="12"/>
      <c r="E836" s="12"/>
      <c r="F836" s="12"/>
    </row>
    <row r="837" spans="1:6" ht="12.5" customHeight="1">
      <c r="A837" s="12"/>
      <c r="B837" s="12"/>
      <c r="C837" s="12"/>
      <c r="D837" s="12"/>
      <c r="E837" s="12"/>
      <c r="F837" s="12"/>
    </row>
    <row r="838" spans="1:6" ht="12.5" customHeight="1">
      <c r="A838" s="12"/>
      <c r="B838" s="12"/>
      <c r="C838" s="12"/>
      <c r="D838" s="12"/>
      <c r="E838" s="12"/>
      <c r="F838" s="12"/>
    </row>
    <row r="839" spans="1:6" ht="12.5" customHeight="1">
      <c r="A839" s="12"/>
      <c r="B839" s="12"/>
      <c r="C839" s="12"/>
      <c r="D839" s="12"/>
      <c r="E839" s="12"/>
      <c r="F839" s="12"/>
    </row>
    <row r="840" spans="1:6" ht="12.5" customHeight="1">
      <c r="A840" s="12"/>
      <c r="B840" s="12"/>
      <c r="C840" s="12"/>
      <c r="D840" s="12"/>
      <c r="E840" s="12"/>
      <c r="F840" s="12"/>
    </row>
    <row r="841" spans="1:6" ht="12.5" customHeight="1">
      <c r="A841" s="12"/>
      <c r="B841" s="12"/>
      <c r="C841" s="12"/>
      <c r="D841" s="12"/>
      <c r="E841" s="12"/>
      <c r="F841" s="12"/>
    </row>
    <row r="842" spans="1:6" ht="12.5" customHeight="1">
      <c r="A842" s="12"/>
      <c r="B842" s="12"/>
      <c r="C842" s="12"/>
      <c r="D842" s="12"/>
      <c r="E842" s="12"/>
      <c r="F842" s="12"/>
    </row>
    <row r="843" spans="1:6" ht="12.5" customHeight="1">
      <c r="A843" s="12"/>
      <c r="B843" s="12"/>
      <c r="C843" s="12"/>
      <c r="D843" s="12"/>
      <c r="E843" s="12"/>
      <c r="F843" s="12"/>
    </row>
    <row r="844" spans="1:6" ht="12.5" customHeight="1">
      <c r="A844" s="12"/>
      <c r="B844" s="12"/>
      <c r="C844" s="12"/>
      <c r="D844" s="12"/>
      <c r="E844" s="12"/>
      <c r="F844" s="12"/>
    </row>
    <row r="845" spans="1:6" ht="12.5" customHeight="1">
      <c r="A845" s="12"/>
      <c r="B845" s="12"/>
      <c r="C845" s="12"/>
      <c r="D845" s="12"/>
      <c r="E845" s="12"/>
      <c r="F845" s="12"/>
    </row>
    <row r="846" spans="1:6" ht="12.5" customHeight="1">
      <c r="A846" s="12"/>
      <c r="B846" s="12"/>
      <c r="C846" s="12"/>
      <c r="D846" s="12"/>
      <c r="E846" s="12"/>
      <c r="F846" s="12"/>
    </row>
    <row r="847" spans="1:6" ht="12.5" customHeight="1">
      <c r="A847" s="12"/>
      <c r="B847" s="12"/>
      <c r="C847" s="12"/>
      <c r="D847" s="12"/>
      <c r="E847" s="12"/>
      <c r="F847" s="12"/>
    </row>
    <row r="848" spans="1:6" ht="12.5" customHeight="1">
      <c r="A848" s="12"/>
      <c r="B848" s="12"/>
      <c r="C848" s="12"/>
      <c r="D848" s="12"/>
      <c r="E848" s="12"/>
      <c r="F848" s="12"/>
    </row>
    <row r="849" spans="1:6" ht="12.5" customHeight="1">
      <c r="A849" s="12"/>
      <c r="B849" s="12"/>
      <c r="C849" s="12"/>
      <c r="D849" s="12"/>
      <c r="E849" s="12"/>
      <c r="F849" s="12"/>
    </row>
    <row r="850" spans="1:6" ht="12.5" customHeight="1">
      <c r="A850" s="12"/>
      <c r="B850" s="12"/>
      <c r="C850" s="12"/>
      <c r="D850" s="12"/>
      <c r="E850" s="12"/>
      <c r="F850" s="12"/>
    </row>
    <row r="851" spans="1:6" ht="12.5" customHeight="1">
      <c r="A851" s="12"/>
      <c r="B851" s="12"/>
      <c r="C851" s="12"/>
      <c r="D851" s="12"/>
      <c r="E851" s="12"/>
      <c r="F851" s="12"/>
    </row>
    <row r="852" spans="1:6" ht="12.5" customHeight="1">
      <c r="A852" s="12"/>
      <c r="B852" s="12"/>
      <c r="C852" s="12"/>
      <c r="D852" s="12"/>
      <c r="E852" s="12"/>
      <c r="F852" s="12"/>
    </row>
    <row r="853" spans="1:6" ht="12.5" customHeight="1">
      <c r="A853" s="12"/>
      <c r="B853" s="12"/>
      <c r="C853" s="12"/>
      <c r="D853" s="12"/>
      <c r="E853" s="12"/>
      <c r="F853" s="12"/>
    </row>
    <row r="854" spans="1:6" ht="12.5" customHeight="1">
      <c r="A854" s="12"/>
      <c r="B854" s="12"/>
      <c r="C854" s="12"/>
      <c r="D854" s="12"/>
      <c r="E854" s="12"/>
      <c r="F854" s="12"/>
    </row>
    <row r="855" spans="1:6" ht="12.5" customHeight="1">
      <c r="A855" s="12"/>
      <c r="B855" s="12"/>
      <c r="C855" s="12"/>
      <c r="D855" s="12"/>
      <c r="E855" s="12"/>
      <c r="F855" s="12"/>
    </row>
    <row r="856" spans="1:6" ht="12.5" customHeight="1">
      <c r="A856" s="12"/>
      <c r="B856" s="12"/>
      <c r="C856" s="12"/>
      <c r="D856" s="12"/>
      <c r="E856" s="12"/>
      <c r="F856" s="12"/>
    </row>
    <row r="857" spans="1:6" ht="12.5" customHeight="1">
      <c r="A857" s="12"/>
      <c r="B857" s="12"/>
      <c r="C857" s="12"/>
      <c r="D857" s="12"/>
      <c r="E857" s="12"/>
      <c r="F857" s="12"/>
    </row>
    <row r="858" spans="1:6" ht="12.5" customHeight="1">
      <c r="A858" s="12"/>
      <c r="B858" s="12"/>
      <c r="C858" s="12"/>
      <c r="D858" s="12"/>
      <c r="E858" s="12"/>
      <c r="F858" s="12"/>
    </row>
    <row r="859" spans="1:6" ht="12.5" customHeight="1">
      <c r="A859" s="12"/>
      <c r="B859" s="12"/>
      <c r="C859" s="12"/>
      <c r="D859" s="12"/>
      <c r="E859" s="12"/>
      <c r="F859" s="12"/>
    </row>
    <row r="860" spans="1:6" ht="12.5" customHeight="1">
      <c r="A860" s="12"/>
      <c r="B860" s="12"/>
      <c r="C860" s="12"/>
      <c r="D860" s="12"/>
      <c r="E860" s="12"/>
      <c r="F860" s="12"/>
    </row>
    <row r="861" spans="1:6" ht="12.5" customHeight="1">
      <c r="A861" s="12"/>
      <c r="B861" s="12"/>
      <c r="C861" s="12"/>
      <c r="D861" s="12"/>
      <c r="E861" s="12"/>
      <c r="F861" s="12"/>
    </row>
    <row r="862" spans="1:6" ht="12.5" customHeight="1">
      <c r="A862" s="12"/>
      <c r="B862" s="12"/>
      <c r="C862" s="12"/>
      <c r="D862" s="12"/>
      <c r="E862" s="12"/>
      <c r="F862" s="12"/>
    </row>
    <row r="863" spans="1:6" ht="12.5" customHeight="1">
      <c r="A863" s="12"/>
      <c r="B863" s="12"/>
      <c r="C863" s="12"/>
      <c r="D863" s="12"/>
      <c r="E863" s="12"/>
      <c r="F863" s="12"/>
    </row>
    <row r="864" spans="1:6" ht="12.5" customHeight="1">
      <c r="A864" s="12"/>
      <c r="B864" s="12"/>
      <c r="C864" s="12"/>
      <c r="D864" s="12"/>
      <c r="E864" s="12"/>
      <c r="F864" s="12"/>
    </row>
    <row r="865" spans="1:6" ht="12.5" customHeight="1">
      <c r="A865" s="12"/>
      <c r="B865" s="12"/>
      <c r="C865" s="12"/>
      <c r="D865" s="12"/>
      <c r="E865" s="12"/>
      <c r="F865" s="12"/>
    </row>
    <row r="866" spans="1:6" ht="12.5" customHeight="1">
      <c r="A866" s="12"/>
      <c r="B866" s="12"/>
      <c r="C866" s="12"/>
      <c r="D866" s="12"/>
      <c r="E866" s="12"/>
      <c r="F866" s="12"/>
    </row>
    <row r="867" spans="1:6" ht="12.5" customHeight="1">
      <c r="A867" s="12"/>
      <c r="B867" s="12"/>
      <c r="C867" s="12"/>
      <c r="D867" s="12"/>
      <c r="E867" s="12"/>
      <c r="F867" s="12"/>
    </row>
    <row r="868" spans="1:6" ht="12.5" customHeight="1">
      <c r="A868" s="12"/>
      <c r="B868" s="12"/>
      <c r="C868" s="12"/>
      <c r="D868" s="12"/>
      <c r="E868" s="12"/>
      <c r="F868" s="12"/>
    </row>
    <row r="869" spans="1:6" ht="12.5" customHeight="1">
      <c r="A869" s="12"/>
      <c r="B869" s="12"/>
      <c r="C869" s="12"/>
      <c r="D869" s="12"/>
      <c r="E869" s="12"/>
      <c r="F869" s="12"/>
    </row>
    <row r="870" spans="1:6" ht="12.5" customHeight="1">
      <c r="A870" s="12"/>
      <c r="B870" s="12"/>
      <c r="C870" s="12"/>
      <c r="D870" s="12"/>
      <c r="E870" s="12"/>
      <c r="F870" s="12"/>
    </row>
    <row r="871" spans="1:6" ht="12.5" customHeight="1">
      <c r="A871" s="12"/>
      <c r="B871" s="12"/>
      <c r="C871" s="12"/>
      <c r="D871" s="12"/>
      <c r="E871" s="12"/>
      <c r="F871" s="12"/>
    </row>
    <row r="872" spans="1:6" ht="12.5" customHeight="1">
      <c r="A872" s="12"/>
      <c r="B872" s="12"/>
      <c r="C872" s="12"/>
      <c r="D872" s="12"/>
      <c r="E872" s="12"/>
      <c r="F872" s="12"/>
    </row>
    <row r="873" spans="1:6" ht="12.5" customHeight="1">
      <c r="A873" s="12"/>
      <c r="B873" s="12"/>
      <c r="C873" s="12"/>
      <c r="D873" s="12"/>
      <c r="E873" s="12"/>
      <c r="F873" s="12"/>
    </row>
    <row r="874" spans="1:6" ht="12.5" customHeight="1">
      <c r="A874" s="12"/>
      <c r="B874" s="12"/>
      <c r="C874" s="12"/>
      <c r="D874" s="12"/>
      <c r="E874" s="12"/>
      <c r="F874" s="12"/>
    </row>
    <row r="875" spans="1:6" ht="12.5" customHeight="1">
      <c r="A875" s="12"/>
      <c r="B875" s="12"/>
      <c r="C875" s="12"/>
      <c r="D875" s="12"/>
      <c r="E875" s="12"/>
      <c r="F875" s="12"/>
    </row>
    <row r="876" spans="1:6" ht="12.5" customHeight="1">
      <c r="A876" s="12"/>
      <c r="B876" s="12"/>
      <c r="C876" s="12"/>
      <c r="D876" s="12"/>
      <c r="E876" s="12"/>
      <c r="F876" s="12"/>
    </row>
    <row r="877" spans="1:6" ht="12.5" customHeight="1">
      <c r="A877" s="12"/>
      <c r="B877" s="12"/>
      <c r="C877" s="12"/>
      <c r="D877" s="12"/>
      <c r="E877" s="12"/>
      <c r="F877" s="12"/>
    </row>
    <row r="878" spans="1:6" ht="12.5" customHeight="1">
      <c r="A878" s="12"/>
      <c r="B878" s="12"/>
      <c r="C878" s="12"/>
      <c r="D878" s="12"/>
      <c r="E878" s="12"/>
      <c r="F878" s="12"/>
    </row>
    <row r="879" spans="1:6" ht="12.5" customHeight="1">
      <c r="A879" s="12"/>
      <c r="B879" s="12"/>
      <c r="C879" s="12"/>
      <c r="D879" s="12"/>
      <c r="E879" s="12"/>
      <c r="F879" s="12"/>
    </row>
    <row r="880" spans="1:6" ht="12.5" customHeight="1">
      <c r="A880" s="12"/>
      <c r="B880" s="12"/>
      <c r="C880" s="12"/>
      <c r="D880" s="12"/>
      <c r="E880" s="12"/>
      <c r="F880" s="12"/>
    </row>
    <row r="881" spans="1:6" ht="12.5" customHeight="1">
      <c r="A881" s="12"/>
      <c r="B881" s="12"/>
      <c r="C881" s="12"/>
      <c r="D881" s="12"/>
      <c r="E881" s="12"/>
      <c r="F881" s="12"/>
    </row>
    <row r="882" spans="1:6" ht="12.5" customHeight="1">
      <c r="A882" s="12"/>
      <c r="B882" s="12"/>
      <c r="C882" s="12"/>
      <c r="D882" s="12"/>
      <c r="E882" s="12"/>
      <c r="F882" s="12"/>
    </row>
    <row r="883" spans="1:6" ht="12.5" customHeight="1">
      <c r="A883" s="12"/>
      <c r="B883" s="12"/>
      <c r="C883" s="12"/>
      <c r="D883" s="12"/>
      <c r="E883" s="12"/>
      <c r="F883" s="12"/>
    </row>
    <row r="884" spans="1:6" ht="12.5" customHeight="1">
      <c r="A884" s="12"/>
      <c r="B884" s="12"/>
      <c r="C884" s="12"/>
      <c r="D884" s="12"/>
      <c r="E884" s="12"/>
      <c r="F884" s="12"/>
    </row>
    <row r="885" spans="1:6" ht="12.5" customHeight="1">
      <c r="A885" s="12"/>
      <c r="B885" s="12"/>
      <c r="C885" s="12"/>
      <c r="D885" s="12"/>
      <c r="E885" s="12"/>
      <c r="F885" s="12"/>
    </row>
    <row r="886" spans="1:6" ht="12.5" customHeight="1">
      <c r="A886" s="12"/>
      <c r="B886" s="12"/>
      <c r="C886" s="12"/>
      <c r="D886" s="12"/>
      <c r="E886" s="12"/>
      <c r="F886" s="12"/>
    </row>
    <row r="887" spans="1:6" ht="12.5" customHeight="1">
      <c r="A887" s="12"/>
      <c r="B887" s="12"/>
      <c r="C887" s="12"/>
      <c r="D887" s="12"/>
      <c r="E887" s="12"/>
      <c r="F887" s="12"/>
    </row>
    <row r="888" spans="1:6" ht="12.5" customHeight="1">
      <c r="A888" s="12"/>
      <c r="B888" s="12"/>
      <c r="C888" s="12"/>
      <c r="D888" s="12"/>
      <c r="E888" s="12"/>
      <c r="F888" s="12"/>
    </row>
    <row r="889" spans="1:6" ht="12.5" customHeight="1">
      <c r="A889" s="12"/>
      <c r="B889" s="12"/>
      <c r="C889" s="12"/>
      <c r="D889" s="12"/>
      <c r="E889" s="12"/>
      <c r="F889" s="12"/>
    </row>
    <row r="890" spans="1:6" ht="12.5" customHeight="1">
      <c r="A890" s="12"/>
      <c r="B890" s="12"/>
      <c r="C890" s="12"/>
      <c r="D890" s="12"/>
      <c r="E890" s="12"/>
      <c r="F890" s="12"/>
    </row>
    <row r="891" spans="1:6" ht="12.5" customHeight="1">
      <c r="A891" s="12"/>
      <c r="B891" s="12"/>
      <c r="C891" s="12"/>
      <c r="D891" s="12"/>
      <c r="E891" s="12"/>
      <c r="F891" s="12"/>
    </row>
    <row r="892" spans="1:6" ht="12.5" customHeight="1">
      <c r="A892" s="12"/>
      <c r="B892" s="12"/>
      <c r="C892" s="12"/>
      <c r="D892" s="12"/>
      <c r="E892" s="12"/>
      <c r="F892" s="12"/>
    </row>
    <row r="893" spans="1:6" ht="12.5" customHeight="1">
      <c r="A893" s="12"/>
      <c r="B893" s="12"/>
      <c r="C893" s="12"/>
      <c r="D893" s="12"/>
      <c r="E893" s="12"/>
      <c r="F893" s="12"/>
    </row>
    <row r="894" spans="1:6" ht="12.5" customHeight="1">
      <c r="A894" s="12"/>
      <c r="B894" s="12"/>
      <c r="C894" s="12"/>
      <c r="D894" s="12"/>
      <c r="E894" s="12"/>
      <c r="F894" s="12"/>
    </row>
    <row r="895" spans="1:6" ht="12.5" customHeight="1">
      <c r="A895" s="12"/>
      <c r="B895" s="12"/>
      <c r="C895" s="12"/>
      <c r="D895" s="12"/>
      <c r="E895" s="12"/>
      <c r="F895" s="12"/>
    </row>
    <row r="896" spans="1:6" ht="12.5" customHeight="1">
      <c r="A896" s="12"/>
      <c r="B896" s="12"/>
      <c r="C896" s="12"/>
      <c r="D896" s="12"/>
      <c r="E896" s="12"/>
      <c r="F896" s="12"/>
    </row>
    <row r="897" spans="1:6" ht="12.5" customHeight="1">
      <c r="A897" s="12"/>
      <c r="B897" s="12"/>
      <c r="C897" s="12"/>
      <c r="D897" s="12"/>
      <c r="E897" s="12"/>
      <c r="F897" s="12"/>
    </row>
    <row r="898" spans="1:6" ht="12.5" customHeight="1">
      <c r="A898" s="12"/>
      <c r="B898" s="12"/>
      <c r="C898" s="12"/>
      <c r="D898" s="12"/>
      <c r="E898" s="12"/>
      <c r="F898" s="12"/>
    </row>
    <row r="899" spans="1:6" ht="12.5" customHeight="1">
      <c r="A899" s="12"/>
      <c r="B899" s="12"/>
      <c r="C899" s="12"/>
      <c r="D899" s="12"/>
      <c r="E899" s="12"/>
      <c r="F899" s="12"/>
    </row>
    <row r="900" spans="1:6" ht="12.5" customHeight="1">
      <c r="A900" s="12"/>
      <c r="B900" s="12"/>
      <c r="C900" s="12"/>
      <c r="D900" s="12"/>
      <c r="E900" s="12"/>
      <c r="F900" s="12"/>
    </row>
    <row r="901" spans="1:6" ht="12.5" customHeight="1">
      <c r="A901" s="12"/>
      <c r="B901" s="12"/>
      <c r="C901" s="12"/>
      <c r="D901" s="12"/>
      <c r="E901" s="12"/>
      <c r="F901" s="12"/>
    </row>
    <row r="902" spans="1:6" ht="12.5" customHeight="1">
      <c r="A902" s="12"/>
      <c r="B902" s="12"/>
      <c r="C902" s="12"/>
      <c r="D902" s="12"/>
      <c r="E902" s="12"/>
      <c r="F902" s="12"/>
    </row>
    <row r="903" spans="1:6" ht="12.5" customHeight="1">
      <c r="A903" s="12"/>
      <c r="B903" s="12"/>
      <c r="C903" s="12"/>
      <c r="D903" s="12"/>
      <c r="E903" s="12"/>
      <c r="F903" s="12"/>
    </row>
    <row r="904" spans="1:6" ht="12.5" customHeight="1">
      <c r="A904" s="12"/>
      <c r="B904" s="12"/>
      <c r="C904" s="12"/>
      <c r="D904" s="12"/>
      <c r="E904" s="12"/>
      <c r="F904" s="12"/>
    </row>
    <row r="905" spans="1:6" ht="12.5" customHeight="1">
      <c r="A905" s="12"/>
      <c r="B905" s="12"/>
      <c r="C905" s="12"/>
      <c r="D905" s="12"/>
      <c r="E905" s="12"/>
      <c r="F905" s="12"/>
    </row>
    <row r="906" spans="1:6" ht="12.5" customHeight="1">
      <c r="A906" s="12"/>
      <c r="B906" s="12"/>
      <c r="C906" s="12"/>
      <c r="D906" s="12"/>
      <c r="E906" s="12"/>
      <c r="F906" s="12"/>
    </row>
    <row r="907" spans="1:6" ht="12.5" customHeight="1">
      <c r="A907" s="12"/>
      <c r="B907" s="12"/>
      <c r="C907" s="12"/>
      <c r="D907" s="12"/>
      <c r="E907" s="12"/>
      <c r="F907" s="12"/>
    </row>
    <row r="908" spans="1:6" ht="12.5" customHeight="1">
      <c r="A908" s="12"/>
      <c r="B908" s="12"/>
      <c r="C908" s="12"/>
      <c r="D908" s="12"/>
      <c r="E908" s="12"/>
      <c r="F908" s="12"/>
    </row>
    <row r="909" spans="1:6" ht="12.5" customHeight="1">
      <c r="A909" s="12"/>
      <c r="B909" s="12"/>
      <c r="C909" s="12"/>
      <c r="D909" s="12"/>
      <c r="E909" s="12"/>
      <c r="F909" s="12"/>
    </row>
    <row r="910" spans="1:6" ht="12.5" customHeight="1">
      <c r="A910" s="12"/>
      <c r="B910" s="12"/>
      <c r="C910" s="12"/>
      <c r="D910" s="12"/>
      <c r="E910" s="12"/>
      <c r="F910" s="12"/>
    </row>
    <row r="911" spans="1:6" ht="12.5" customHeight="1">
      <c r="A911" s="12"/>
      <c r="B911" s="12"/>
      <c r="C911" s="12"/>
      <c r="D911" s="12"/>
      <c r="E911" s="12"/>
      <c r="F911" s="12"/>
    </row>
    <row r="912" spans="1:6" ht="12.5" customHeight="1">
      <c r="A912" s="12"/>
      <c r="B912" s="12"/>
      <c r="C912" s="12"/>
      <c r="D912" s="12"/>
      <c r="E912" s="12"/>
      <c r="F912" s="12"/>
    </row>
    <row r="913" spans="1:6" ht="12.5" customHeight="1">
      <c r="A913" s="12"/>
      <c r="B913" s="12"/>
      <c r="C913" s="12"/>
      <c r="D913" s="12"/>
      <c r="E913" s="12"/>
      <c r="F913" s="12"/>
    </row>
    <row r="914" spans="1:6" ht="12.5" customHeight="1">
      <c r="A914" s="12"/>
      <c r="B914" s="12"/>
      <c r="C914" s="12"/>
      <c r="D914" s="12"/>
      <c r="E914" s="12"/>
      <c r="F914" s="12"/>
    </row>
    <row r="915" spans="1:6" ht="12.5" customHeight="1">
      <c r="A915" s="12"/>
      <c r="B915" s="12"/>
      <c r="C915" s="12"/>
      <c r="D915" s="12"/>
      <c r="E915" s="12"/>
      <c r="F915" s="12"/>
    </row>
    <row r="916" spans="1:6" ht="12.5" customHeight="1">
      <c r="A916" s="12"/>
      <c r="B916" s="12"/>
      <c r="C916" s="12"/>
      <c r="D916" s="12"/>
      <c r="E916" s="12"/>
      <c r="F916" s="12"/>
    </row>
    <row r="917" spans="1:6" ht="12.5" customHeight="1">
      <c r="A917" s="12"/>
      <c r="B917" s="12"/>
      <c r="C917" s="12"/>
      <c r="D917" s="12"/>
      <c r="E917" s="12"/>
      <c r="F917" s="12"/>
    </row>
    <row r="918" spans="1:6" ht="12.5" customHeight="1">
      <c r="A918" s="12"/>
      <c r="B918" s="12"/>
      <c r="C918" s="12"/>
      <c r="D918" s="12"/>
      <c r="E918" s="12"/>
      <c r="F918" s="12"/>
    </row>
    <row r="919" spans="1:6" ht="12.5" customHeight="1">
      <c r="A919" s="12"/>
      <c r="B919" s="12"/>
      <c r="C919" s="12"/>
      <c r="D919" s="12"/>
      <c r="E919" s="12"/>
      <c r="F919" s="12"/>
    </row>
    <row r="920" spans="1:6" ht="12.5" customHeight="1">
      <c r="A920" s="12"/>
      <c r="B920" s="12"/>
      <c r="C920" s="12"/>
      <c r="D920" s="12"/>
      <c r="E920" s="12"/>
      <c r="F920" s="12"/>
    </row>
    <row r="921" spans="1:6" ht="12.5" customHeight="1">
      <c r="A921" s="12"/>
      <c r="B921" s="12"/>
      <c r="C921" s="12"/>
      <c r="D921" s="12"/>
      <c r="E921" s="12"/>
      <c r="F921" s="12"/>
    </row>
    <row r="922" spans="1:6" ht="12.5" customHeight="1">
      <c r="A922" s="12"/>
      <c r="B922" s="12"/>
      <c r="C922" s="12"/>
      <c r="D922" s="12"/>
      <c r="E922" s="12"/>
      <c r="F922" s="12"/>
    </row>
    <row r="923" spans="1:6" ht="12.5" customHeight="1">
      <c r="A923" s="12"/>
      <c r="B923" s="12"/>
      <c r="C923" s="12"/>
      <c r="D923" s="12"/>
      <c r="E923" s="12"/>
      <c r="F923" s="12"/>
    </row>
    <row r="924" spans="1:6" ht="12.5" customHeight="1">
      <c r="A924" s="12"/>
      <c r="B924" s="12"/>
      <c r="C924" s="12"/>
      <c r="D924" s="12"/>
      <c r="E924" s="12"/>
      <c r="F924" s="12"/>
    </row>
    <row r="925" spans="1:6" ht="12.5" customHeight="1">
      <c r="A925" s="12"/>
      <c r="B925" s="12"/>
      <c r="C925" s="12"/>
      <c r="D925" s="12"/>
      <c r="E925" s="12"/>
      <c r="F925" s="12"/>
    </row>
    <row r="926" spans="1:6" ht="12.5" customHeight="1">
      <c r="A926" s="12"/>
      <c r="B926" s="12"/>
      <c r="C926" s="12"/>
      <c r="D926" s="12"/>
      <c r="E926" s="12"/>
      <c r="F926" s="12"/>
    </row>
    <row r="927" spans="1:6" ht="12.5" customHeight="1">
      <c r="A927" s="12"/>
      <c r="B927" s="12"/>
      <c r="C927" s="12"/>
      <c r="D927" s="12"/>
      <c r="E927" s="12"/>
      <c r="F927" s="12"/>
    </row>
    <row r="928" spans="1:6" ht="12.5" customHeight="1">
      <c r="A928" s="12"/>
      <c r="B928" s="12"/>
      <c r="C928" s="12"/>
      <c r="D928" s="12"/>
      <c r="E928" s="12"/>
      <c r="F928" s="12"/>
    </row>
    <row r="929" spans="1:6" ht="12.5" customHeight="1">
      <c r="A929" s="12"/>
      <c r="B929" s="12"/>
      <c r="C929" s="12"/>
      <c r="D929" s="12"/>
      <c r="E929" s="12"/>
      <c r="F929" s="12"/>
    </row>
    <row r="930" spans="1:6" ht="12.5" customHeight="1">
      <c r="A930" s="12"/>
      <c r="B930" s="12"/>
      <c r="C930" s="12"/>
      <c r="D930" s="12"/>
      <c r="E930" s="12"/>
      <c r="F930" s="12"/>
    </row>
    <row r="931" spans="1:6" ht="12.5" customHeight="1">
      <c r="A931" s="12"/>
      <c r="B931" s="12"/>
      <c r="C931" s="12"/>
      <c r="D931" s="12"/>
      <c r="E931" s="12"/>
      <c r="F931" s="12"/>
    </row>
    <row r="932" spans="1:6" ht="12.5" customHeight="1">
      <c r="A932" s="12"/>
      <c r="B932" s="12"/>
      <c r="C932" s="12"/>
      <c r="D932" s="12"/>
      <c r="E932" s="12"/>
      <c r="F932" s="12"/>
    </row>
    <row r="933" spans="1:6" ht="12.5" customHeight="1">
      <c r="A933" s="12"/>
      <c r="B933" s="12"/>
      <c r="C933" s="12"/>
      <c r="D933" s="12"/>
      <c r="E933" s="12"/>
      <c r="F933" s="12"/>
    </row>
    <row r="934" spans="1:6" ht="12.5" customHeight="1">
      <c r="A934" s="12"/>
      <c r="B934" s="12"/>
      <c r="C934" s="12"/>
      <c r="D934" s="12"/>
      <c r="E934" s="12"/>
      <c r="F934" s="12"/>
    </row>
    <row r="935" spans="1:6" ht="12.5" customHeight="1">
      <c r="A935" s="12"/>
      <c r="B935" s="12"/>
      <c r="C935" s="12"/>
      <c r="D935" s="12"/>
      <c r="E935" s="12"/>
      <c r="F935" s="12"/>
    </row>
    <row r="936" spans="1:6" ht="12.5" customHeight="1">
      <c r="A936" s="12"/>
      <c r="B936" s="12"/>
      <c r="C936" s="12"/>
      <c r="D936" s="12"/>
      <c r="E936" s="12"/>
      <c r="F936" s="12"/>
    </row>
    <row r="937" spans="1:6" ht="12.5" customHeight="1">
      <c r="A937" s="12"/>
      <c r="B937" s="12"/>
      <c r="C937" s="12"/>
      <c r="D937" s="12"/>
      <c r="E937" s="12"/>
      <c r="F937" s="12"/>
    </row>
    <row r="938" spans="1:6" ht="12.5" customHeight="1">
      <c r="A938" s="12"/>
      <c r="B938" s="12"/>
      <c r="C938" s="12"/>
      <c r="D938" s="12"/>
      <c r="E938" s="12"/>
      <c r="F938" s="12"/>
    </row>
    <row r="939" spans="1:6" ht="12.5" customHeight="1">
      <c r="A939" s="12"/>
      <c r="B939" s="12"/>
      <c r="C939" s="12"/>
      <c r="D939" s="12"/>
      <c r="E939" s="12"/>
      <c r="F939" s="12"/>
    </row>
    <row r="940" spans="1:6" ht="12.5" customHeight="1">
      <c r="A940" s="12"/>
      <c r="B940" s="12"/>
      <c r="C940" s="12"/>
      <c r="D940" s="12"/>
      <c r="E940" s="12"/>
      <c r="F940" s="12"/>
    </row>
    <row r="941" spans="1:6" ht="12.5" customHeight="1">
      <c r="A941" s="12"/>
      <c r="B941" s="12"/>
      <c r="C941" s="12"/>
      <c r="D941" s="12"/>
      <c r="E941" s="12"/>
      <c r="F941" s="12"/>
    </row>
    <row r="942" spans="1:6" ht="12.5" customHeight="1">
      <c r="A942" s="12"/>
      <c r="B942" s="12"/>
      <c r="C942" s="12"/>
      <c r="D942" s="12"/>
      <c r="E942" s="12"/>
      <c r="F942" s="12"/>
    </row>
    <row r="943" spans="1:6" ht="12.5" customHeight="1">
      <c r="A943" s="12"/>
      <c r="B943" s="12"/>
      <c r="C943" s="12"/>
      <c r="D943" s="12"/>
      <c r="E943" s="12"/>
      <c r="F943" s="12"/>
    </row>
    <row r="944" spans="1:6" ht="12.5" customHeight="1">
      <c r="A944" s="12"/>
      <c r="B944" s="12"/>
      <c r="C944" s="12"/>
      <c r="D944" s="12"/>
      <c r="E944" s="12"/>
      <c r="F944" s="12"/>
    </row>
    <row r="945" spans="1:6" ht="12.5" customHeight="1">
      <c r="A945" s="12"/>
      <c r="B945" s="12"/>
      <c r="C945" s="12"/>
      <c r="D945" s="12"/>
      <c r="E945" s="12"/>
      <c r="F945" s="12"/>
    </row>
    <row r="946" spans="1:6" ht="12.5" customHeight="1">
      <c r="A946" s="12"/>
      <c r="B946" s="12"/>
      <c r="C946" s="12"/>
      <c r="D946" s="12"/>
      <c r="E946" s="12"/>
      <c r="F946" s="12"/>
    </row>
    <row r="947" spans="1:6" ht="12.5" customHeight="1">
      <c r="A947" s="12"/>
      <c r="B947" s="12"/>
      <c r="C947" s="12"/>
      <c r="D947" s="12"/>
      <c r="E947" s="12"/>
      <c r="F947" s="12"/>
    </row>
    <row r="948" spans="1:6" ht="12.5" customHeight="1">
      <c r="A948" s="12"/>
      <c r="B948" s="12"/>
      <c r="C948" s="12"/>
      <c r="D948" s="12"/>
      <c r="E948" s="12"/>
      <c r="F948" s="12"/>
    </row>
    <row r="949" spans="1:6" ht="12.5" customHeight="1">
      <c r="A949" s="12"/>
      <c r="B949" s="12"/>
      <c r="C949" s="12"/>
      <c r="D949" s="12"/>
      <c r="E949" s="12"/>
      <c r="F949" s="12"/>
    </row>
    <row r="950" spans="1:6" ht="12.5" customHeight="1">
      <c r="A950" s="12"/>
      <c r="B950" s="12"/>
      <c r="C950" s="12"/>
      <c r="D950" s="12"/>
      <c r="E950" s="12"/>
      <c r="F950" s="12"/>
    </row>
    <row r="951" spans="1:6" ht="12.5" customHeight="1">
      <c r="A951" s="12"/>
      <c r="B951" s="12"/>
      <c r="C951" s="12"/>
      <c r="D951" s="12"/>
      <c r="E951" s="12"/>
      <c r="F951" s="12"/>
    </row>
    <row r="952" spans="1:6" ht="12.5" customHeight="1">
      <c r="A952" s="12"/>
      <c r="B952" s="12"/>
      <c r="C952" s="12"/>
      <c r="D952" s="12"/>
      <c r="E952" s="12"/>
      <c r="F952" s="12"/>
    </row>
    <row r="953" spans="1:6" ht="12.5" customHeight="1">
      <c r="A953" s="12"/>
      <c r="B953" s="12"/>
      <c r="C953" s="12"/>
      <c r="D953" s="12"/>
      <c r="E953" s="12"/>
      <c r="F953" s="12"/>
    </row>
    <row r="954" spans="1:6" ht="12.5" customHeight="1">
      <c r="A954" s="12"/>
      <c r="B954" s="12"/>
      <c r="C954" s="12"/>
      <c r="D954" s="12"/>
      <c r="E954" s="12"/>
      <c r="F954" s="12"/>
    </row>
    <row r="955" spans="1:6" ht="12.5" customHeight="1">
      <c r="A955" s="12"/>
      <c r="B955" s="12"/>
      <c r="C955" s="12"/>
      <c r="D955" s="12"/>
      <c r="E955" s="12"/>
      <c r="F955" s="12"/>
    </row>
    <row r="956" spans="1:6" ht="12.5" customHeight="1">
      <c r="A956" s="12"/>
      <c r="B956" s="12"/>
      <c r="C956" s="12"/>
      <c r="D956" s="12"/>
      <c r="E956" s="12"/>
      <c r="F956" s="12"/>
    </row>
    <row r="957" spans="1:6" ht="12.5" customHeight="1">
      <c r="A957" s="12"/>
      <c r="B957" s="12"/>
      <c r="C957" s="12"/>
      <c r="D957" s="12"/>
      <c r="E957" s="12"/>
      <c r="F957" s="12"/>
    </row>
    <row r="958" spans="1:6" ht="12.5" customHeight="1">
      <c r="A958" s="12"/>
      <c r="B958" s="12"/>
      <c r="C958" s="12"/>
      <c r="D958" s="12"/>
      <c r="E958" s="12"/>
      <c r="F958" s="12"/>
    </row>
    <row r="959" spans="1:6" ht="12.5" customHeight="1">
      <c r="A959" s="12"/>
      <c r="B959" s="12"/>
      <c r="C959" s="12"/>
      <c r="D959" s="12"/>
      <c r="E959" s="12"/>
      <c r="F959" s="12"/>
    </row>
    <row r="960" spans="1:6" ht="12.5" customHeight="1">
      <c r="A960" s="12"/>
      <c r="B960" s="12"/>
      <c r="C960" s="12"/>
      <c r="D960" s="12"/>
      <c r="E960" s="12"/>
      <c r="F960" s="12"/>
    </row>
    <row r="961" spans="1:6" ht="12.5" customHeight="1">
      <c r="A961" s="12"/>
      <c r="B961" s="12"/>
      <c r="C961" s="12"/>
      <c r="D961" s="12"/>
      <c r="E961" s="12"/>
      <c r="F961" s="12"/>
    </row>
    <row r="962" spans="1:6" ht="12.5" customHeight="1">
      <c r="A962" s="12"/>
      <c r="B962" s="12"/>
      <c r="C962" s="12"/>
      <c r="D962" s="12"/>
      <c r="E962" s="12"/>
      <c r="F962" s="12"/>
    </row>
    <row r="963" spans="1:6" ht="12.5" customHeight="1">
      <c r="A963" s="12"/>
      <c r="B963" s="12"/>
      <c r="C963" s="12"/>
      <c r="D963" s="12"/>
      <c r="E963" s="12"/>
      <c r="F963" s="12"/>
    </row>
    <row r="964" spans="1:6" ht="12.5" customHeight="1">
      <c r="A964" s="12"/>
      <c r="B964" s="12"/>
      <c r="C964" s="12"/>
      <c r="D964" s="12"/>
      <c r="E964" s="12"/>
      <c r="F964" s="12"/>
    </row>
    <row r="965" spans="1:6" ht="12.5" customHeight="1">
      <c r="A965" s="12"/>
      <c r="B965" s="12"/>
      <c r="C965" s="12"/>
      <c r="D965" s="12"/>
      <c r="E965" s="12"/>
      <c r="F965" s="12"/>
    </row>
    <row r="966" spans="1:6" ht="12.5" customHeight="1">
      <c r="A966" s="12"/>
      <c r="B966" s="12"/>
      <c r="C966" s="12"/>
      <c r="D966" s="12"/>
      <c r="E966" s="12"/>
      <c r="F966" s="12"/>
    </row>
    <row r="967" spans="1:6" ht="12.5" customHeight="1">
      <c r="A967" s="12"/>
      <c r="B967" s="12"/>
      <c r="C967" s="12"/>
      <c r="D967" s="12"/>
      <c r="E967" s="12"/>
      <c r="F967" s="12"/>
    </row>
    <row r="968" spans="1:6" ht="12.5" customHeight="1">
      <c r="A968" s="12"/>
      <c r="B968" s="12"/>
      <c r="C968" s="12"/>
      <c r="D968" s="12"/>
      <c r="E968" s="12"/>
      <c r="F968" s="12"/>
    </row>
    <row r="969" spans="1:6" ht="12.5" customHeight="1">
      <c r="A969" s="12"/>
      <c r="B969" s="12"/>
      <c r="C969" s="12"/>
      <c r="D969" s="12"/>
      <c r="E969" s="12"/>
      <c r="F969" s="12"/>
    </row>
    <row r="970" spans="1:6" ht="12.5" customHeight="1">
      <c r="A970" s="12"/>
      <c r="B970" s="12"/>
      <c r="C970" s="12"/>
      <c r="D970" s="12"/>
      <c r="E970" s="12"/>
      <c r="F970" s="12"/>
    </row>
    <row r="971" spans="1:6" ht="12.5" customHeight="1">
      <c r="A971" s="12"/>
      <c r="B971" s="12"/>
      <c r="C971" s="12"/>
      <c r="D971" s="12"/>
      <c r="E971" s="12"/>
      <c r="F971" s="12"/>
    </row>
    <row r="972" spans="1:6" ht="12.5" customHeight="1">
      <c r="A972" s="12"/>
      <c r="B972" s="12"/>
      <c r="C972" s="12"/>
      <c r="D972" s="12"/>
      <c r="E972" s="12"/>
      <c r="F972" s="12"/>
    </row>
    <row r="973" spans="1:6" ht="12.5" customHeight="1">
      <c r="A973" s="12"/>
      <c r="B973" s="12"/>
      <c r="C973" s="12"/>
      <c r="D973" s="12"/>
      <c r="E973" s="12"/>
      <c r="F973" s="12"/>
    </row>
    <row r="974" spans="1:6" ht="12.5" customHeight="1">
      <c r="A974" s="12"/>
      <c r="B974" s="12"/>
      <c r="C974" s="12"/>
      <c r="D974" s="12"/>
      <c r="E974" s="12"/>
      <c r="F974" s="12"/>
    </row>
    <row r="975" spans="1:6" ht="12.5" customHeight="1">
      <c r="A975" s="12"/>
      <c r="B975" s="12"/>
      <c r="C975" s="12"/>
      <c r="D975" s="12"/>
      <c r="E975" s="12"/>
      <c r="F975" s="12"/>
    </row>
    <row r="976" spans="1:6" ht="12.5" customHeight="1">
      <c r="A976" s="12"/>
      <c r="B976" s="12"/>
      <c r="C976" s="12"/>
      <c r="D976" s="12"/>
      <c r="E976" s="12"/>
      <c r="F976" s="12"/>
    </row>
    <row r="977" spans="1:6" ht="12.5" customHeight="1">
      <c r="A977" s="12"/>
      <c r="B977" s="12"/>
      <c r="C977" s="12"/>
      <c r="D977" s="12"/>
      <c r="E977" s="12"/>
      <c r="F977" s="12"/>
    </row>
    <row r="978" spans="1:6" ht="12.5" customHeight="1">
      <c r="A978" s="12"/>
      <c r="B978" s="12"/>
      <c r="C978" s="12"/>
      <c r="D978" s="12"/>
      <c r="E978" s="12"/>
      <c r="F978" s="12"/>
    </row>
    <row r="979" spans="1:6" ht="12.5" customHeight="1">
      <c r="A979" s="12"/>
      <c r="B979" s="12"/>
      <c r="C979" s="12"/>
      <c r="D979" s="12"/>
      <c r="E979" s="12"/>
      <c r="F979" s="12"/>
    </row>
    <row r="980" spans="1:6" ht="12.5" customHeight="1">
      <c r="A980" s="12"/>
      <c r="B980" s="12"/>
      <c r="C980" s="12"/>
      <c r="D980" s="12"/>
      <c r="E980" s="12"/>
      <c r="F980" s="12"/>
    </row>
    <row r="981" spans="1:6" ht="12.5" customHeight="1">
      <c r="A981" s="12"/>
      <c r="B981" s="12"/>
      <c r="C981" s="12"/>
      <c r="D981" s="12"/>
      <c r="E981" s="12"/>
      <c r="F981" s="12"/>
    </row>
    <row r="982" spans="1:6" ht="12.5" customHeight="1">
      <c r="A982" s="12"/>
      <c r="B982" s="12"/>
      <c r="C982" s="12"/>
      <c r="D982" s="12"/>
      <c r="E982" s="12"/>
      <c r="F982" s="12"/>
    </row>
    <row r="983" spans="1:6" ht="12.5" customHeight="1">
      <c r="A983" s="12"/>
      <c r="B983" s="12"/>
      <c r="C983" s="12"/>
      <c r="D983" s="12"/>
      <c r="E983" s="12"/>
      <c r="F983" s="12"/>
    </row>
    <row r="984" spans="1:6" ht="12.5" customHeight="1">
      <c r="A984" s="12"/>
      <c r="B984" s="12"/>
      <c r="C984" s="12"/>
      <c r="D984" s="12"/>
      <c r="E984" s="12"/>
      <c r="F984" s="12"/>
    </row>
    <row r="985" spans="1:6" ht="12.5" customHeight="1">
      <c r="A985" s="12"/>
      <c r="B985" s="12"/>
      <c r="C985" s="12"/>
      <c r="D985" s="12"/>
      <c r="E985" s="12"/>
      <c r="F985" s="12"/>
    </row>
    <row r="986" spans="1:6" ht="12.5" customHeight="1">
      <c r="A986" s="12"/>
      <c r="B986" s="12"/>
      <c r="C986" s="12"/>
      <c r="D986" s="12"/>
      <c r="E986" s="12"/>
      <c r="F986" s="12"/>
    </row>
    <row r="987" spans="1:6" ht="12.5" customHeight="1">
      <c r="A987" s="12"/>
      <c r="B987" s="12"/>
      <c r="C987" s="12"/>
      <c r="D987" s="12"/>
      <c r="E987" s="12"/>
      <c r="F987" s="12"/>
    </row>
    <row r="988" spans="1:6" ht="12.5" customHeight="1">
      <c r="A988" s="12"/>
      <c r="B988" s="12"/>
      <c r="C988" s="12"/>
      <c r="D988" s="12"/>
      <c r="E988" s="12"/>
      <c r="F988" s="12"/>
    </row>
    <row r="989" spans="1:6" ht="12.5" customHeight="1">
      <c r="A989" s="12"/>
      <c r="B989" s="12"/>
      <c r="C989" s="12"/>
      <c r="D989" s="12"/>
      <c r="E989" s="12"/>
      <c r="F989" s="12"/>
    </row>
    <row r="990" spans="1:6" ht="12.5" customHeight="1">
      <c r="A990" s="12"/>
      <c r="B990" s="12"/>
      <c r="C990" s="12"/>
      <c r="D990" s="12"/>
      <c r="E990" s="12"/>
      <c r="F990" s="12"/>
    </row>
    <row r="991" spans="1:6" ht="12.5" customHeight="1">
      <c r="A991" s="12"/>
      <c r="B991" s="12"/>
      <c r="C991" s="12"/>
      <c r="D991" s="12"/>
      <c r="E991" s="12"/>
      <c r="F991" s="12"/>
    </row>
    <row r="992" spans="1:6" ht="12.5" customHeight="1">
      <c r="A992" s="12"/>
      <c r="B992" s="12"/>
      <c r="C992" s="12"/>
      <c r="D992" s="12"/>
      <c r="E992" s="12"/>
      <c r="F992" s="12"/>
    </row>
    <row r="993" spans="1:6" ht="12.5" customHeight="1">
      <c r="A993" s="12"/>
      <c r="B993" s="12"/>
      <c r="C993" s="12"/>
      <c r="D993" s="12"/>
      <c r="E993" s="12"/>
      <c r="F993" s="12"/>
    </row>
    <row r="994" spans="1:6" ht="12.5" customHeight="1">
      <c r="A994" s="12"/>
      <c r="B994" s="12"/>
      <c r="C994" s="12"/>
      <c r="D994" s="12"/>
      <c r="E994" s="12"/>
      <c r="F994" s="12"/>
    </row>
    <row r="995" spans="1:6" ht="12.5" customHeight="1">
      <c r="A995" s="12"/>
      <c r="B995" s="12"/>
      <c r="C995" s="12"/>
      <c r="D995" s="12"/>
      <c r="E995" s="12"/>
      <c r="F995" s="12"/>
    </row>
    <row r="996" spans="1:6" ht="12.5" customHeight="1">
      <c r="A996" s="12"/>
      <c r="B996" s="12"/>
      <c r="C996" s="12"/>
      <c r="D996" s="12"/>
      <c r="E996" s="12"/>
      <c r="F996" s="12"/>
    </row>
    <row r="997" spans="1:6" ht="12.5" customHeight="1">
      <c r="A997" s="12"/>
      <c r="B997" s="12"/>
      <c r="C997" s="12"/>
      <c r="D997" s="12"/>
      <c r="E997" s="12"/>
      <c r="F997" s="12"/>
    </row>
    <row r="998" spans="1:6" ht="12.5" customHeight="1">
      <c r="A998" s="12"/>
      <c r="B998" s="12"/>
      <c r="C998" s="12"/>
      <c r="D998" s="12"/>
      <c r="E998" s="12"/>
      <c r="F998" s="12"/>
    </row>
    <row r="999" spans="1:6" ht="12.5" customHeight="1">
      <c r="A999" s="12"/>
      <c r="B999" s="12"/>
      <c r="C999" s="12"/>
      <c r="D999" s="12"/>
      <c r="E999" s="12"/>
      <c r="F999" s="12"/>
    </row>
    <row r="1000" spans="1:6" ht="12.5" customHeight="1">
      <c r="A1000" s="12"/>
      <c r="B1000" s="12"/>
      <c r="C1000" s="12"/>
      <c r="D1000" s="12"/>
      <c r="E1000" s="12"/>
      <c r="F1000" s="12"/>
    </row>
    <row r="1001" spans="1:6" ht="12.5" customHeight="1">
      <c r="A1001" s="12"/>
      <c r="B1001" s="12"/>
      <c r="C1001" s="12"/>
      <c r="D1001" s="12"/>
      <c r="E1001" s="12"/>
      <c r="F1001" s="12"/>
    </row>
    <row r="1002" spans="1:6" ht="12.5" customHeight="1">
      <c r="A1002" s="12"/>
      <c r="B1002" s="12"/>
      <c r="C1002" s="12"/>
      <c r="D1002" s="12"/>
      <c r="E1002" s="12"/>
      <c r="F1002" s="12"/>
    </row>
    <row r="1003" spans="1:6" ht="12.5" customHeight="1">
      <c r="A1003" s="12"/>
      <c r="B1003" s="12"/>
      <c r="C1003" s="12"/>
      <c r="D1003" s="12"/>
      <c r="E1003" s="12"/>
      <c r="F1003" s="12"/>
    </row>
    <row r="1004" spans="1:6" ht="12.5" customHeight="1">
      <c r="A1004" s="12"/>
      <c r="B1004" s="12"/>
      <c r="C1004" s="12"/>
      <c r="D1004" s="12"/>
      <c r="E1004" s="12"/>
      <c r="F1004" s="12"/>
    </row>
    <row r="1005" spans="1:6" ht="12.5" customHeight="1">
      <c r="A1005" s="12"/>
      <c r="B1005" s="12"/>
      <c r="C1005" s="12"/>
      <c r="D1005" s="12"/>
      <c r="E1005" s="12"/>
      <c r="F1005" s="12"/>
    </row>
    <row r="1006" spans="1:6" ht="12.5" customHeight="1">
      <c r="A1006" s="12"/>
      <c r="B1006" s="12"/>
      <c r="C1006" s="12"/>
      <c r="D1006" s="12"/>
      <c r="E1006" s="12"/>
      <c r="F1006" s="12"/>
    </row>
    <row r="1007" spans="1:6" ht="12.5" customHeight="1">
      <c r="A1007" s="12"/>
      <c r="B1007" s="12"/>
      <c r="C1007" s="12"/>
      <c r="D1007" s="12"/>
      <c r="E1007" s="12"/>
      <c r="F1007" s="12"/>
    </row>
    <row r="1008" spans="1:6" ht="12.5" customHeight="1">
      <c r="A1008" s="12"/>
      <c r="B1008" s="12"/>
      <c r="C1008" s="12"/>
      <c r="D1008" s="12"/>
      <c r="E1008" s="12"/>
      <c r="F1008" s="12"/>
    </row>
    <row r="1009" spans="1:6" ht="12.5" customHeight="1">
      <c r="A1009" s="12"/>
      <c r="B1009" s="12"/>
      <c r="C1009" s="12"/>
      <c r="D1009" s="12"/>
      <c r="E1009" s="12"/>
      <c r="F1009" s="12"/>
    </row>
    <row r="1010" spans="1:6" ht="12.5" customHeight="1">
      <c r="A1010" s="12"/>
      <c r="B1010" s="12"/>
      <c r="C1010" s="12"/>
      <c r="D1010" s="12"/>
      <c r="E1010" s="12"/>
      <c r="F1010" s="12"/>
    </row>
    <row r="1011" spans="1:6" ht="12.5" customHeight="1">
      <c r="A1011" s="12"/>
      <c r="B1011" s="12"/>
      <c r="C1011" s="12"/>
      <c r="D1011" s="12"/>
      <c r="E1011" s="12"/>
      <c r="F1011" s="12"/>
    </row>
    <row r="1012" spans="1:6" ht="12.5" customHeight="1">
      <c r="A1012" s="12"/>
      <c r="B1012" s="12"/>
      <c r="C1012" s="12"/>
      <c r="D1012" s="12"/>
      <c r="E1012" s="12"/>
      <c r="F1012" s="12"/>
    </row>
    <row r="1013" spans="1:6" ht="12.5" customHeight="1">
      <c r="A1013" s="12"/>
      <c r="B1013" s="12"/>
      <c r="C1013" s="12"/>
      <c r="D1013" s="12"/>
      <c r="E1013" s="12"/>
      <c r="F1013" s="12"/>
    </row>
    <row r="1014" spans="1:6" ht="12.5" customHeight="1">
      <c r="A1014" s="12"/>
      <c r="B1014" s="12"/>
      <c r="C1014" s="12"/>
      <c r="D1014" s="12"/>
      <c r="E1014" s="12"/>
      <c r="F1014" s="12"/>
    </row>
    <row r="1015" spans="1:6" ht="12.5" customHeight="1">
      <c r="A1015" s="12"/>
      <c r="B1015" s="12"/>
      <c r="C1015" s="12"/>
      <c r="D1015" s="12"/>
      <c r="E1015" s="12"/>
      <c r="F1015" s="12"/>
    </row>
    <row r="1016" spans="1:6" ht="12.5" customHeight="1">
      <c r="A1016" s="12"/>
      <c r="B1016" s="12"/>
      <c r="C1016" s="12"/>
      <c r="D1016" s="12"/>
      <c r="E1016" s="12"/>
      <c r="F1016" s="12"/>
    </row>
    <row r="1017" spans="1:6" ht="12.5" customHeight="1">
      <c r="A1017" s="12"/>
      <c r="B1017" s="12"/>
      <c r="C1017" s="12"/>
      <c r="D1017" s="12"/>
      <c r="E1017" s="12"/>
      <c r="F1017" s="12"/>
    </row>
    <row r="1018" spans="1:6" ht="12.5" customHeight="1">
      <c r="A1018" s="12"/>
      <c r="B1018" s="12"/>
      <c r="C1018" s="12"/>
      <c r="D1018" s="12"/>
      <c r="E1018" s="12"/>
      <c r="F1018" s="12"/>
    </row>
    <row r="1019" spans="1:6" ht="12.5" customHeight="1">
      <c r="A1019" s="12"/>
      <c r="B1019" s="12"/>
      <c r="C1019" s="12"/>
      <c r="D1019" s="12"/>
      <c r="E1019" s="12"/>
      <c r="F1019" s="12"/>
    </row>
    <row r="1020" spans="1:6" ht="12.5" customHeight="1">
      <c r="A1020" s="12"/>
      <c r="B1020" s="12"/>
      <c r="C1020" s="12"/>
      <c r="D1020" s="12"/>
      <c r="E1020" s="12"/>
      <c r="F1020" s="12"/>
    </row>
  </sheetData>
  <phoneticPr fontId="7"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50"/>
  <sheetViews>
    <sheetView workbookViewId="0"/>
  </sheetViews>
  <sheetFormatPr defaultColWidth="12.6328125" defaultRowHeight="15.75" customHeight="1"/>
  <cols>
    <col min="1" max="2" width="17.08984375" customWidth="1"/>
  </cols>
  <sheetData>
    <row r="1" spans="1:6" ht="12.5" customHeight="1">
      <c r="A1" s="21" t="s">
        <v>282</v>
      </c>
      <c r="B1" s="3" t="s">
        <v>7</v>
      </c>
      <c r="C1" s="3" t="s">
        <v>8</v>
      </c>
      <c r="D1" s="3" t="s">
        <v>9</v>
      </c>
      <c r="E1" s="3" t="s">
        <v>10</v>
      </c>
      <c r="F1" s="3" t="s">
        <v>11</v>
      </c>
    </row>
    <row r="2" spans="1:6" ht="12.5" customHeight="1">
      <c r="A2" s="3" t="s">
        <v>283</v>
      </c>
      <c r="B2" s="18">
        <v>46533</v>
      </c>
      <c r="C2" s="18">
        <v>30207</v>
      </c>
      <c r="D2" s="18">
        <v>21821</v>
      </c>
      <c r="E2" s="18">
        <v>60158</v>
      </c>
      <c r="F2" s="18">
        <v>40008</v>
      </c>
    </row>
    <row r="3" spans="1:6" ht="12.5" customHeight="1">
      <c r="A3" s="3" t="s">
        <v>284</v>
      </c>
      <c r="B3" s="3">
        <v>87.95</v>
      </c>
      <c r="C3" s="3">
        <v>68.19</v>
      </c>
      <c r="D3" s="3">
        <v>55.44</v>
      </c>
      <c r="E3" s="3">
        <v>122.28</v>
      </c>
      <c r="F3" s="3">
        <v>78.44</v>
      </c>
    </row>
    <row r="4" spans="1:6" ht="12.5" customHeight="1">
      <c r="A4" s="21" t="s">
        <v>285</v>
      </c>
      <c r="B4" s="3">
        <f>B3*10000/B2</f>
        <v>18.900565190295058</v>
      </c>
      <c r="C4" s="3">
        <f>C3*10000/C2</f>
        <v>22.574237759459727</v>
      </c>
      <c r="D4" s="3">
        <f>D3*10000/D2</f>
        <v>25.406718298886393</v>
      </c>
      <c r="E4" s="3">
        <f>E3*10000/E2</f>
        <v>20.326473619468732</v>
      </c>
      <c r="F4" s="3">
        <f>F3*10000/F2</f>
        <v>19.606078784243152</v>
      </c>
    </row>
    <row r="5" spans="1:6" ht="12.5" customHeight="1">
      <c r="A5" s="3" t="s">
        <v>286</v>
      </c>
      <c r="B5" s="3">
        <v>13.07</v>
      </c>
      <c r="C5" s="3">
        <v>12.92</v>
      </c>
      <c r="D5" s="3">
        <v>10.039999999999999</v>
      </c>
      <c r="E5" s="3">
        <v>8.2200000000000006</v>
      </c>
      <c r="F5" s="3">
        <v>6.85</v>
      </c>
    </row>
    <row r="6" spans="1:6" ht="12.5" customHeight="1">
      <c r="A6" s="3" t="s">
        <v>287</v>
      </c>
      <c r="B6" s="3">
        <f>B3+B5</f>
        <v>101.02000000000001</v>
      </c>
      <c r="C6" s="3">
        <f>C3+C5</f>
        <v>81.11</v>
      </c>
      <c r="D6" s="3">
        <f>D3+D5</f>
        <v>65.47999999999999</v>
      </c>
      <c r="E6" s="3">
        <f>E3+E5</f>
        <v>130.5</v>
      </c>
      <c r="F6" s="3">
        <f>F3+F5</f>
        <v>85.289999999999992</v>
      </c>
    </row>
    <row r="7" spans="1:6" ht="12.5" customHeight="1">
      <c r="A7" s="3" t="s">
        <v>288</v>
      </c>
      <c r="B7" s="3">
        <v>80.39</v>
      </c>
      <c r="C7" s="3">
        <v>63.84</v>
      </c>
      <c r="D7" s="3">
        <v>52.42</v>
      </c>
      <c r="E7" s="3">
        <v>117.33</v>
      </c>
      <c r="F7" s="3">
        <v>83.2</v>
      </c>
    </row>
    <row r="8" spans="1:6" ht="12.5" customHeight="1">
      <c r="A8" s="3" t="s">
        <v>289</v>
      </c>
      <c r="B8" s="3">
        <v>5.21</v>
      </c>
      <c r="C8" s="3">
        <v>5.91</v>
      </c>
      <c r="D8" s="3">
        <v>4.62</v>
      </c>
      <c r="E8" s="3">
        <v>5.08</v>
      </c>
      <c r="F8" s="3">
        <v>4.38</v>
      </c>
    </row>
    <row r="9" spans="1:6" ht="12.5" customHeight="1">
      <c r="A9" s="21" t="s">
        <v>290</v>
      </c>
      <c r="B9" s="3">
        <f>B3-B7</f>
        <v>7.5600000000000023</v>
      </c>
      <c r="C9" s="3">
        <f>C3-C7</f>
        <v>4.3499999999999943</v>
      </c>
      <c r="D9" s="3">
        <f>D3-D7</f>
        <v>3.019999999999996</v>
      </c>
      <c r="E9" s="3">
        <f>E3-E7</f>
        <v>4.9500000000000028</v>
      </c>
      <c r="F9" s="3">
        <f>F3-F7</f>
        <v>-4.7600000000000051</v>
      </c>
    </row>
    <row r="10" spans="1:6" ht="12.5" customHeight="1">
      <c r="A10" s="21" t="s">
        <v>291</v>
      </c>
      <c r="B10" s="9">
        <f>B9/B3</f>
        <v>8.5957930642410488E-2</v>
      </c>
      <c r="C10" s="9">
        <f>C9/C3</f>
        <v>6.3792344918609689E-2</v>
      </c>
      <c r="D10" s="9">
        <f>D9/D3</f>
        <v>5.4473304473304403E-2</v>
      </c>
      <c r="E10" s="9">
        <f>E9/E3</f>
        <v>4.0480863591756649E-2</v>
      </c>
      <c r="F10" s="9">
        <f>F9/F3</f>
        <v>-6.0683324834268297E-2</v>
      </c>
    </row>
    <row r="11" spans="1:6" ht="12.5" customHeight="1">
      <c r="A11" s="21" t="s">
        <v>292</v>
      </c>
      <c r="B11" s="8">
        <f>B5-B8</f>
        <v>7.86</v>
      </c>
      <c r="C11" s="8">
        <f>C5-C8</f>
        <v>7.01</v>
      </c>
      <c r="D11" s="8">
        <f>D5-D8</f>
        <v>5.419999999999999</v>
      </c>
      <c r="E11" s="8">
        <f>E5-E8</f>
        <v>3.1400000000000006</v>
      </c>
      <c r="F11" s="8">
        <f>F5-F8</f>
        <v>2.4699999999999998</v>
      </c>
    </row>
    <row r="12" spans="1:6" ht="12.5" customHeight="1">
      <c r="A12" s="21" t="s">
        <v>293</v>
      </c>
      <c r="B12" s="3">
        <f>B9*10000/B2</f>
        <v>1.6246534717297407</v>
      </c>
      <c r="C12" s="3">
        <f>C9*10000/C2</f>
        <v>1.4400635614261577</v>
      </c>
      <c r="D12" s="3">
        <f>D9*10000/D2</f>
        <v>1.383987901562713</v>
      </c>
      <c r="E12" s="3">
        <f>E9*10000/E2</f>
        <v>0.82283320589115383</v>
      </c>
      <c r="F12" s="3">
        <f>F9*10000/F2</f>
        <v>-1.1897620475904831</v>
      </c>
    </row>
    <row r="13" spans="1:6" ht="12.5" customHeight="1">
      <c r="A13" s="21" t="s">
        <v>294</v>
      </c>
      <c r="B13" s="3">
        <f>B7+B8</f>
        <v>85.6</v>
      </c>
      <c r="C13" s="3">
        <f>C7+C8</f>
        <v>69.75</v>
      </c>
      <c r="D13" s="3">
        <f>D7+D8</f>
        <v>57.04</v>
      </c>
      <c r="E13" s="3">
        <f>E7+E8</f>
        <v>122.41</v>
      </c>
      <c r="F13" s="3">
        <f>F7+F8</f>
        <v>87.58</v>
      </c>
    </row>
    <row r="14" spans="1:6" ht="12.5" customHeight="1">
      <c r="A14" s="21" t="s">
        <v>295</v>
      </c>
      <c r="B14" s="3">
        <f>B6-B13</f>
        <v>15.420000000000016</v>
      </c>
      <c r="C14" s="3">
        <f>C6-C13</f>
        <v>11.36</v>
      </c>
      <c r="D14" s="3">
        <f>D6-D13</f>
        <v>8.4399999999999906</v>
      </c>
      <c r="E14" s="3">
        <f>E6-E13</f>
        <v>8.0900000000000034</v>
      </c>
      <c r="F14" s="3">
        <f>F6-F13</f>
        <v>-2.2900000000000063</v>
      </c>
    </row>
    <row r="15" spans="1:6" ht="12.5" customHeight="1">
      <c r="A15" s="21" t="s">
        <v>296</v>
      </c>
      <c r="B15" s="9">
        <f>B14/B6</f>
        <v>0.15264304098198392</v>
      </c>
      <c r="C15" s="9">
        <f>C14/C6</f>
        <v>0.14005671310565898</v>
      </c>
      <c r="D15" s="9">
        <f>D14/D6</f>
        <v>0.12889431887599254</v>
      </c>
      <c r="E15" s="9">
        <f>E14/E6</f>
        <v>6.1992337164750985E-2</v>
      </c>
      <c r="F15" s="9">
        <f>F14/F6</f>
        <v>-2.6849572048305854E-2</v>
      </c>
    </row>
    <row r="16" spans="1:6" ht="12.5" customHeight="1">
      <c r="A16" s="21" t="s">
        <v>150</v>
      </c>
      <c r="B16" s="3">
        <v>16.329999999999998</v>
      </c>
      <c r="C16" s="3">
        <v>14.67</v>
      </c>
      <c r="D16" s="3">
        <v>13.5</v>
      </c>
      <c r="E16" s="3">
        <v>13.08</v>
      </c>
      <c r="F16" s="3">
        <v>13.06</v>
      </c>
    </row>
    <row r="17" spans="1:11" ht="12.5" customHeight="1">
      <c r="A17" s="21" t="s">
        <v>297</v>
      </c>
      <c r="B17" s="3">
        <v>16.329999999999998</v>
      </c>
      <c r="C17" s="3">
        <v>15.74</v>
      </c>
      <c r="D17" s="3">
        <v>13.88</v>
      </c>
      <c r="E17" s="3">
        <v>19.37</v>
      </c>
      <c r="F17" s="3">
        <v>16.920000000000002</v>
      </c>
    </row>
    <row r="18" spans="1:11" ht="12.5" customHeight="1">
      <c r="A18" s="21" t="s">
        <v>28</v>
      </c>
      <c r="B18" s="3">
        <f>SUM(B16:B17)</f>
        <v>32.659999999999997</v>
      </c>
      <c r="C18" s="3">
        <f>SUM(C16:C17)</f>
        <v>30.41</v>
      </c>
      <c r="D18" s="3">
        <f>SUM(D16:D17)</f>
        <v>27.380000000000003</v>
      </c>
      <c r="E18" s="3">
        <f>SUM(E16:E17)</f>
        <v>32.450000000000003</v>
      </c>
      <c r="F18" s="3">
        <f>SUM(F16:F17)</f>
        <v>29.980000000000004</v>
      </c>
    </row>
    <row r="19" spans="1:11" ht="18.75" customHeight="1">
      <c r="A19" s="21" t="s">
        <v>298</v>
      </c>
      <c r="B19" s="3">
        <f>0.4-1.62</f>
        <v>-1.2200000000000002</v>
      </c>
      <c r="C19" s="3">
        <f>2.79+0.16</f>
        <v>2.95</v>
      </c>
      <c r="D19" s="3">
        <f>0.74+1.75</f>
        <v>2.4900000000000002</v>
      </c>
      <c r="E19" s="3">
        <f>3.52+0.3</f>
        <v>3.82</v>
      </c>
      <c r="F19" s="3">
        <f>0.65</f>
        <v>0.65</v>
      </c>
    </row>
    <row r="20" spans="1:11" ht="12.5" customHeight="1">
      <c r="A20" s="3" t="s">
        <v>299</v>
      </c>
      <c r="B20" s="3">
        <f>B14-B18+B19</f>
        <v>-18.45999999999998</v>
      </c>
      <c r="C20" s="3">
        <f>C14-C18+C19</f>
        <v>-16.100000000000001</v>
      </c>
      <c r="D20" s="3">
        <f>D14-D18+D19</f>
        <v>-16.45000000000001</v>
      </c>
      <c r="E20" s="3">
        <f>E14-E18+E19</f>
        <v>-20.54</v>
      </c>
      <c r="F20" s="3">
        <f>F14-F18+F19</f>
        <v>-31.620000000000012</v>
      </c>
    </row>
    <row r="21" spans="1:11" ht="12.5" customHeight="1">
      <c r="A21" s="21" t="s">
        <v>300</v>
      </c>
      <c r="B21" s="3">
        <f>3.18-0.83-2.16+0.47+0.06</f>
        <v>0.72</v>
      </c>
      <c r="C21" s="3">
        <f>3.57-0.81-0.36+0.21+0.04</f>
        <v>2.65</v>
      </c>
      <c r="D21" s="3">
        <f>3.99-0.85-0.19-0.13+0.04</f>
        <v>2.8600000000000003</v>
      </c>
      <c r="E21" s="3">
        <f>3.43-0.73+5.61-1.85+0.46+0.27</f>
        <v>7.1900000000000013</v>
      </c>
      <c r="F21" s="3">
        <f>3.14-0.66-9.72-0.09+0.06+0.04</f>
        <v>-7.23</v>
      </c>
    </row>
    <row r="22" spans="1:11" ht="12.5" customHeight="1">
      <c r="A22" s="21" t="s">
        <v>35</v>
      </c>
      <c r="B22" s="3">
        <f>B20+B21</f>
        <v>-17.739999999999981</v>
      </c>
      <c r="C22" s="3">
        <f>C20+C21</f>
        <v>-13.450000000000001</v>
      </c>
      <c r="D22" s="3">
        <f>D20+D21</f>
        <v>-13.590000000000011</v>
      </c>
      <c r="E22" s="3">
        <f>E20+E21</f>
        <v>-13.349999999999998</v>
      </c>
      <c r="F22" s="3">
        <f>F20+F21</f>
        <v>-38.850000000000009</v>
      </c>
    </row>
    <row r="23" spans="1:11" ht="12.5" customHeight="1">
      <c r="A23" s="3" t="s">
        <v>301</v>
      </c>
      <c r="B23" s="3">
        <v>-18.07</v>
      </c>
      <c r="C23" s="3">
        <v>-12.84</v>
      </c>
      <c r="D23" s="3">
        <v>-13.68</v>
      </c>
      <c r="E23" s="3">
        <v>-13.48</v>
      </c>
      <c r="F23" s="3">
        <v>-38.86</v>
      </c>
    </row>
    <row r="24" spans="1:11" ht="12.5" customHeight="1">
      <c r="A24" s="21" t="s">
        <v>302</v>
      </c>
      <c r="B24" s="19">
        <f>1893857778/100000000</f>
        <v>18.938577779999999</v>
      </c>
      <c r="C24" s="19">
        <f>1888024660/100000000</f>
        <v>18.8802466</v>
      </c>
      <c r="D24" s="19">
        <f>1885395377/100000000</f>
        <v>18.85395377</v>
      </c>
      <c r="E24" s="19">
        <f>1787655242/100000000</f>
        <v>17.876552419999999</v>
      </c>
      <c r="F24" s="19">
        <f>1729980347/100000000</f>
        <v>17.299803470000001</v>
      </c>
    </row>
    <row r="25" spans="1:11" ht="12.5" customHeight="1">
      <c r="A25" s="21" t="s">
        <v>303</v>
      </c>
      <c r="B25" s="19">
        <f>B24/2</f>
        <v>9.4692888899999996</v>
      </c>
      <c r="C25" s="19">
        <f>C24/2</f>
        <v>9.4401232999999998</v>
      </c>
      <c r="D25" s="19">
        <f>D24/2</f>
        <v>9.4269768850000002</v>
      </c>
      <c r="E25" s="19">
        <f>E24/2</f>
        <v>8.9382762099999997</v>
      </c>
      <c r="F25" s="19">
        <f>F24/2</f>
        <v>8.6499017350000003</v>
      </c>
    </row>
    <row r="26" spans="1:11" ht="12.5" customHeight="1">
      <c r="A26" s="21" t="s">
        <v>304</v>
      </c>
      <c r="B26" s="3">
        <f>B23/B24</f>
        <v>-0.95413711683686953</v>
      </c>
      <c r="C26" s="3">
        <f>C23/C24</f>
        <v>-0.68007586299217093</v>
      </c>
      <c r="D26" s="3">
        <f>D23/D24</f>
        <v>-0.72557725381544724</v>
      </c>
      <c r="E26" s="3">
        <f>E23/E24</f>
        <v>-0.75406038498333683</v>
      </c>
      <c r="F26" s="3">
        <f>F23/F24</f>
        <v>-2.2462682924339603</v>
      </c>
    </row>
    <row r="27" spans="1:11" ht="12.5" customHeight="1">
      <c r="A27" s="21" t="s">
        <v>305</v>
      </c>
      <c r="B27" s="3">
        <f>B26*2</f>
        <v>-1.9082742336737391</v>
      </c>
      <c r="C27" s="3">
        <f>C26*2</f>
        <v>-1.3601517259843419</v>
      </c>
      <c r="D27" s="3">
        <f>D26*2</f>
        <v>-1.4511545076308945</v>
      </c>
      <c r="E27" s="3">
        <f>E26*2</f>
        <v>-1.5081207699666737</v>
      </c>
      <c r="F27" s="3">
        <f>F26*2</f>
        <v>-4.4925365848679206</v>
      </c>
    </row>
    <row r="28" spans="1:11" ht="12.5" customHeight="1">
      <c r="D28" s="21" t="s">
        <v>306</v>
      </c>
      <c r="E28" s="21" t="s">
        <v>122</v>
      </c>
      <c r="G28" s="1" t="s">
        <v>48</v>
      </c>
      <c r="I28" s="21" t="s">
        <v>49</v>
      </c>
      <c r="K28" s="21" t="s">
        <v>307</v>
      </c>
    </row>
    <row r="29" spans="1:11" ht="12.5" customHeight="1">
      <c r="E29" s="3">
        <f>SUM(B14:E14)</f>
        <v>43.310000000000009</v>
      </c>
      <c r="G29" s="5">
        <f ca="1">IFERROR(__xludf.DUMMYFUNCTION("GOOGLEFINANCE(""CURRENCY:USDCNY"")"),6.7656481)</f>
        <v>6.7656480999999999</v>
      </c>
      <c r="I29" s="5">
        <f ca="1">IFERROR(__xludf.DUMMYFUNCTION("GOOGLEFINANCE(""NYSE:XPEV"",""price"")"),15.95)</f>
        <v>15.95</v>
      </c>
      <c r="K29" s="3">
        <f ca="1">I29*C25</f>
        <v>150.56996663499999</v>
      </c>
    </row>
    <row r="30" spans="1:11" ht="12.5" customHeight="1">
      <c r="C30" s="3" t="s">
        <v>308</v>
      </c>
      <c r="E30" s="3">
        <f ca="1">E29/G29</f>
        <v>6.4014562034345257</v>
      </c>
      <c r="J30" s="21" t="s">
        <v>309</v>
      </c>
      <c r="K30" s="3">
        <f ca="1">K29-(C50/G29)</f>
        <v>100.30870637229137</v>
      </c>
    </row>
    <row r="31" spans="1:11" ht="12.5" customHeight="1">
      <c r="C31" s="3" t="s">
        <v>50</v>
      </c>
      <c r="E31" s="3">
        <f ca="1">K29/E30</f>
        <v>23.521205464815303</v>
      </c>
    </row>
    <row r="32" spans="1:11" ht="12.5" customHeight="1">
      <c r="C32" s="21" t="s">
        <v>310</v>
      </c>
    </row>
    <row r="33" spans="1:3" ht="12.5" customHeight="1">
      <c r="C33" s="3"/>
    </row>
    <row r="34" spans="1:3" ht="12.5" customHeight="1">
      <c r="A34" s="21" t="s">
        <v>60</v>
      </c>
      <c r="B34" s="3">
        <v>106.6</v>
      </c>
      <c r="C34" s="3">
        <v>142.53</v>
      </c>
    </row>
    <row r="35" spans="1:3" ht="12.5" customHeight="1">
      <c r="A35" s="3" t="s">
        <v>311</v>
      </c>
      <c r="B35" s="3">
        <v>27.69</v>
      </c>
      <c r="C35" s="3">
        <v>34.51</v>
      </c>
    </row>
    <row r="36" spans="1:3" ht="12.5" customHeight="1">
      <c r="A36" s="21" t="s">
        <v>312</v>
      </c>
      <c r="B36" s="3">
        <v>132.25</v>
      </c>
      <c r="C36" s="3">
        <v>108.69</v>
      </c>
    </row>
    <row r="37" spans="1:3" ht="12.5" customHeight="1">
      <c r="A37" s="3" t="s">
        <v>313</v>
      </c>
      <c r="B37" s="3">
        <v>1.38</v>
      </c>
      <c r="C37" s="3">
        <v>5.33</v>
      </c>
    </row>
    <row r="38" spans="1:3" ht="12.5" customHeight="1">
      <c r="A38" s="3" t="s">
        <v>63</v>
      </c>
      <c r="B38" s="3">
        <v>2.7</v>
      </c>
      <c r="C38" s="3">
        <v>2.5099999999999998</v>
      </c>
    </row>
    <row r="39" spans="1:3" ht="12.5" customHeight="1">
      <c r="A39" s="3" t="s">
        <v>314</v>
      </c>
      <c r="B39" s="3">
        <v>29.16</v>
      </c>
      <c r="C39" s="3">
        <v>27.66</v>
      </c>
    </row>
    <row r="40" spans="1:3" ht="12.5" customHeight="1">
      <c r="A40" s="3" t="s">
        <v>315</v>
      </c>
      <c r="B40" s="3">
        <v>23.35</v>
      </c>
      <c r="C40" s="3">
        <v>21.35</v>
      </c>
    </row>
    <row r="41" spans="1:3" ht="12.5" customHeight="1">
      <c r="A41" s="3" t="s">
        <v>316</v>
      </c>
      <c r="B41" s="3">
        <v>22.13</v>
      </c>
      <c r="C41" s="3">
        <v>19.72</v>
      </c>
    </row>
    <row r="42" spans="1:3" ht="12.5" customHeight="1">
      <c r="A42" s="3" t="s">
        <v>317</v>
      </c>
      <c r="B42" s="3">
        <v>61.42</v>
      </c>
      <c r="C42" s="3">
        <v>55.66</v>
      </c>
    </row>
    <row r="43" spans="1:3" ht="12.5" customHeight="1">
      <c r="A43" s="3" t="s">
        <v>64</v>
      </c>
      <c r="B43" s="3">
        <v>0.44</v>
      </c>
      <c r="C43" s="3">
        <v>0.34</v>
      </c>
    </row>
    <row r="44" spans="1:3" ht="12.5" customHeight="1">
      <c r="A44" s="3" t="s">
        <v>65</v>
      </c>
      <c r="B44" s="3">
        <v>32.549999999999997</v>
      </c>
      <c r="C44" s="3">
        <v>29.02</v>
      </c>
    </row>
    <row r="46" spans="1:3" ht="12.5" customHeight="1">
      <c r="A46" s="21" t="s">
        <v>318</v>
      </c>
      <c r="B46" s="3">
        <f>SUM(B34:B44)</f>
        <v>439.67</v>
      </c>
      <c r="C46" s="3">
        <f>SUM(C34:C44)</f>
        <v>447.32</v>
      </c>
    </row>
    <row r="47" spans="1:3" ht="12.5" customHeight="1">
      <c r="A47" s="21" t="s">
        <v>319</v>
      </c>
      <c r="B47" s="3">
        <v>324.64</v>
      </c>
      <c r="C47" s="3">
        <v>302.66000000000003</v>
      </c>
    </row>
    <row r="48" spans="1:3" ht="12.5" customHeight="1">
      <c r="A48" s="21" t="s">
        <v>73</v>
      </c>
      <c r="B48" s="3">
        <f>SUM(B46:B47)</f>
        <v>764.31</v>
      </c>
      <c r="C48" s="3">
        <f>SUM(C46:C47)</f>
        <v>749.98</v>
      </c>
    </row>
    <row r="49" spans="1:3" ht="12.5" customHeight="1">
      <c r="A49" s="21" t="s">
        <v>83</v>
      </c>
      <c r="B49" s="3">
        <v>444.07</v>
      </c>
      <c r="C49" s="3">
        <v>409.93</v>
      </c>
    </row>
    <row r="50" spans="1:3" ht="12.5" customHeight="1">
      <c r="A50" s="21" t="s">
        <v>320</v>
      </c>
      <c r="B50" s="3">
        <f>B48-B49</f>
        <v>320.23999999999995</v>
      </c>
      <c r="C50" s="3">
        <f>C48-C49</f>
        <v>340.05</v>
      </c>
    </row>
  </sheetData>
  <phoneticPr fontId="7"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G14"/>
  <sheetViews>
    <sheetView workbookViewId="0"/>
  </sheetViews>
  <sheetFormatPr defaultColWidth="12.6328125" defaultRowHeight="15.75" customHeight="1"/>
  <sheetData>
    <row r="1" spans="2:7" ht="15.75" customHeight="1">
      <c r="B1" s="21" t="s">
        <v>49</v>
      </c>
      <c r="C1" s="21" t="s">
        <v>321</v>
      </c>
      <c r="D1" s="21" t="s">
        <v>322</v>
      </c>
      <c r="E1" s="21" t="s">
        <v>323</v>
      </c>
      <c r="F1" s="3" t="s">
        <v>324</v>
      </c>
    </row>
    <row r="2" spans="2:7" ht="15.75" customHeight="1">
      <c r="B2" s="3">
        <f ca="1">IFERROR(__xludf.DUMMYFUNCTION("GOOGLEFINANCE(""NASDAQ:BTCS"",""price"")"),1.3)</f>
        <v>1.3</v>
      </c>
      <c r="C2" s="3">
        <v>70140</v>
      </c>
      <c r="D2" s="3">
        <f ca="1">C2*F2/10000</f>
        <v>11404.207789799999</v>
      </c>
      <c r="F2" s="3">
        <f ca="1">IFERROR(__xludf.DUMMYFUNCTION("GOOGLEFINANCE(""CURRENCY:ETHUSD"")"),1625.9207)</f>
        <v>1625.9206999999999</v>
      </c>
    </row>
    <row r="5" spans="2:7" ht="15.75" customHeight="1">
      <c r="C5" s="21" t="s">
        <v>325</v>
      </c>
      <c r="E5" s="21" t="s">
        <v>326</v>
      </c>
      <c r="G5" s="21" t="s">
        <v>327</v>
      </c>
    </row>
    <row r="6" spans="2:7" ht="15.75" customHeight="1">
      <c r="C6" s="3">
        <f ca="1">IFERROR(__xludf.DUMMYFUNCTION("GOOGLEFINANCE(""NASDAQ:BTCS"",""marketcap"")/10000"),6470.7978)</f>
        <v>6470.7978000000003</v>
      </c>
      <c r="E6" s="3">
        <f ca="1">(D2-C7)/G14</f>
        <v>1.4176465487931031</v>
      </c>
      <c r="F6" s="3" t="s">
        <v>328</v>
      </c>
      <c r="G6" s="3">
        <v>1780</v>
      </c>
    </row>
    <row r="7" spans="2:7" ht="15.75" customHeight="1">
      <c r="C7" s="3">
        <f ca="1">IFERROR(__xludf.DUMMYFUNCTION("GOOGLEFINANCE(""NASDAQ:BTCS"",""marketcap"")/10000"),6470.7978)</f>
        <v>6470.7978000000003</v>
      </c>
      <c r="F7" s="21" t="s">
        <v>329</v>
      </c>
      <c r="G7" s="3">
        <v>1700</v>
      </c>
    </row>
    <row r="14" spans="2:7" ht="15.75" customHeight="1">
      <c r="F14" s="3" t="s">
        <v>330</v>
      </c>
      <c r="G14" s="3">
        <f>SUM(G6:G8)</f>
        <v>3480</v>
      </c>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1:N6"/>
  <sheetViews>
    <sheetView workbookViewId="0"/>
  </sheetViews>
  <sheetFormatPr defaultColWidth="12.6328125" defaultRowHeight="15.75" customHeight="1"/>
  <sheetData>
    <row r="1" spans="2:14" ht="15.75" customHeight="1">
      <c r="B1" s="21" t="s">
        <v>49</v>
      </c>
      <c r="C1" s="21" t="s">
        <v>331</v>
      </c>
      <c r="D1" s="21" t="s">
        <v>332</v>
      </c>
      <c r="N1" s="3" t="s">
        <v>333</v>
      </c>
    </row>
    <row r="2" spans="2:14" ht="15.75" customHeight="1">
      <c r="B2" s="20">
        <f ca="1">IFERROR(__xludf.DUMMYFUNCTION("GOOGLEFINANCE(""NASDAQ:MSTR"",""price"")"),120.44)</f>
        <v>120.44</v>
      </c>
      <c r="C2" s="20">
        <f ca="1">D2*N2/100000000</f>
        <v>309.17509893919998</v>
      </c>
      <c r="D2" s="3">
        <f>499096</f>
        <v>499096</v>
      </c>
      <c r="N2" s="3">
        <f ca="1">IFERROR(__xludf.DUMMYFUNCTION("GOOGLEFINANCE(""CURRENCY:BTCUSD"")"),61947.02)</f>
        <v>61947.02</v>
      </c>
    </row>
    <row r="3" spans="2:14" ht="15.75" customHeight="1">
      <c r="B3" s="21" t="s">
        <v>51</v>
      </c>
      <c r="C3" s="21" t="s">
        <v>334</v>
      </c>
    </row>
    <row r="4" spans="2:14" ht="15.75" customHeight="1">
      <c r="B4" s="3">
        <f ca="1">IFERROR(__xludf.DUMMYFUNCTION("GOOGLEFINANCE(""NASDAQ:MSTR"",""marketcap"")/100000000"),428.91852441)</f>
        <v>428.91852440999997</v>
      </c>
    </row>
    <row r="5" spans="2:14" ht="15.75" customHeight="1">
      <c r="B5" s="9">
        <f ca="1">B4/C2</f>
        <v>1.3872997077761033</v>
      </c>
    </row>
    <row r="6" spans="2:14" ht="15.75" customHeight="1">
      <c r="B6" s="20">
        <f ca="1">B4-C2</f>
        <v>119.74342547079999</v>
      </c>
    </row>
  </sheetData>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41"/>
  <sheetViews>
    <sheetView workbookViewId="0"/>
  </sheetViews>
  <sheetFormatPr defaultColWidth="12.6328125" defaultRowHeight="15.75" customHeight="1"/>
  <cols>
    <col min="1" max="1" width="23.08984375" customWidth="1"/>
  </cols>
  <sheetData>
    <row r="1" spans="1:6" ht="15.75" customHeight="1">
      <c r="A1" s="21" t="s">
        <v>335</v>
      </c>
      <c r="B1" s="3" t="s">
        <v>13</v>
      </c>
      <c r="C1" s="3" t="s">
        <v>14</v>
      </c>
      <c r="D1" s="3" t="s">
        <v>15</v>
      </c>
      <c r="E1" s="3" t="s">
        <v>16</v>
      </c>
      <c r="F1" s="3" t="s">
        <v>17</v>
      </c>
    </row>
    <row r="2" spans="1:6" ht="15.75" customHeight="1">
      <c r="A2" s="3" t="s">
        <v>336</v>
      </c>
      <c r="B2" s="3">
        <v>2.4900000000000002</v>
      </c>
      <c r="F2" s="3">
        <v>2.4300000000000002</v>
      </c>
    </row>
    <row r="3" spans="1:6" ht="15.75" customHeight="1">
      <c r="A3" s="3" t="s">
        <v>337</v>
      </c>
      <c r="B3" s="3">
        <v>1.24</v>
      </c>
      <c r="F3" s="3">
        <v>1.2</v>
      </c>
    </row>
    <row r="4" spans="1:6" ht="15.75" customHeight="1">
      <c r="A4" s="21" t="s">
        <v>295</v>
      </c>
      <c r="B4" s="3">
        <f>B2-B3</f>
        <v>1.2500000000000002</v>
      </c>
      <c r="F4" s="3">
        <f>F2-F3</f>
        <v>1.2300000000000002</v>
      </c>
    </row>
    <row r="5" spans="1:6" ht="15.75" customHeight="1">
      <c r="A5" s="21" t="s">
        <v>296</v>
      </c>
      <c r="B5" s="9">
        <f>B4/B2</f>
        <v>0.50200803212851408</v>
      </c>
      <c r="F5" s="9">
        <f>F4/F2</f>
        <v>0.50617283950617287</v>
      </c>
    </row>
    <row r="6" spans="1:6" ht="15.75" customHeight="1">
      <c r="A6" s="3" t="s">
        <v>338</v>
      </c>
      <c r="B6" s="3">
        <v>0.81</v>
      </c>
      <c r="F6" s="3">
        <v>0.68</v>
      </c>
    </row>
    <row r="7" spans="1:6" ht="15.75" customHeight="1">
      <c r="A7" s="21" t="s">
        <v>151</v>
      </c>
      <c r="B7" s="3">
        <f>B6</f>
        <v>0.81</v>
      </c>
      <c r="F7" s="3">
        <f>F6</f>
        <v>0.68</v>
      </c>
    </row>
    <row r="8" spans="1:6" ht="15.75" customHeight="1">
      <c r="A8" s="21" t="s">
        <v>29</v>
      </c>
      <c r="B8" s="3">
        <f>B4-B7</f>
        <v>0.44000000000000017</v>
      </c>
      <c r="F8" s="3">
        <f>F4-F7</f>
        <v>0.55000000000000016</v>
      </c>
    </row>
    <row r="9" spans="1:6" ht="15.75" customHeight="1">
      <c r="A9" s="21" t="s">
        <v>30</v>
      </c>
      <c r="B9" s="9">
        <f>B8/B2</f>
        <v>0.17670682730923701</v>
      </c>
      <c r="F9" s="9">
        <f>F8/F2</f>
        <v>0.22633744855967083</v>
      </c>
    </row>
    <row r="10" spans="1:6" ht="15.75" customHeight="1">
      <c r="A10" s="21" t="s">
        <v>339</v>
      </c>
      <c r="B10" s="3">
        <v>-0.01</v>
      </c>
      <c r="F10" s="3">
        <v>0.06</v>
      </c>
    </row>
    <row r="11" spans="1:6" ht="15.75" customHeight="1">
      <c r="A11" s="21" t="s">
        <v>35</v>
      </c>
      <c r="B11" s="3">
        <f>B8+B10</f>
        <v>0.43000000000000016</v>
      </c>
      <c r="F11" s="3">
        <f>F8+F10</f>
        <v>0.6100000000000001</v>
      </c>
    </row>
    <row r="12" spans="1:6" ht="15.75" customHeight="1">
      <c r="A12" s="3" t="s">
        <v>340</v>
      </c>
      <c r="B12" s="3">
        <v>0.34</v>
      </c>
      <c r="F12" s="3">
        <v>0.31</v>
      </c>
    </row>
    <row r="13" spans="1:6" ht="15.75" customHeight="1">
      <c r="A13" s="3" t="s">
        <v>341</v>
      </c>
      <c r="B13" s="3">
        <f>B11-B12</f>
        <v>9.0000000000000135E-2</v>
      </c>
      <c r="F13" s="3">
        <f>F11-F12</f>
        <v>0.3000000000000001</v>
      </c>
    </row>
    <row r="14" spans="1:6" ht="15.75" customHeight="1">
      <c r="A14" s="3" t="s">
        <v>342</v>
      </c>
      <c r="B14" s="3">
        <v>0</v>
      </c>
      <c r="F14" s="3">
        <v>0.01</v>
      </c>
    </row>
    <row r="15" spans="1:6" ht="15.75" customHeight="1">
      <c r="A15" s="21" t="s">
        <v>38</v>
      </c>
      <c r="B15" s="3">
        <f>B13-B14</f>
        <v>9.0000000000000135E-2</v>
      </c>
      <c r="F15" s="3">
        <f>F13-F14</f>
        <v>0.29000000000000009</v>
      </c>
    </row>
    <row r="16" spans="1:6" ht="15.75" customHeight="1">
      <c r="A16" s="21" t="s">
        <v>343</v>
      </c>
      <c r="B16" s="3">
        <v>2.37</v>
      </c>
      <c r="F16" s="3">
        <v>2.36</v>
      </c>
    </row>
    <row r="17" spans="1:6" ht="15.75" customHeight="1">
      <c r="A17" s="21" t="s">
        <v>344</v>
      </c>
      <c r="B17" s="3">
        <v>2.37</v>
      </c>
      <c r="F17" s="3">
        <v>2.38</v>
      </c>
    </row>
    <row r="18" spans="1:6" ht="15.75" customHeight="1">
      <c r="A18" s="21" t="s">
        <v>177</v>
      </c>
      <c r="B18" s="3">
        <f>B15/B16</f>
        <v>3.7974683544303854E-2</v>
      </c>
      <c r="F18" s="3">
        <f>F15/F16</f>
        <v>0.12288135593220344</v>
      </c>
    </row>
    <row r="19" spans="1:6" ht="15.75" customHeight="1">
      <c r="A19" s="21" t="s">
        <v>345</v>
      </c>
      <c r="B19" s="3">
        <f>B15/B17</f>
        <v>3.7974683544303854E-2</v>
      </c>
      <c r="F19" s="3">
        <f>F15/F17</f>
        <v>0.12184873949579836</v>
      </c>
    </row>
    <row r="20" spans="1:6" ht="15.75" customHeight="1">
      <c r="A20" s="3" t="s">
        <v>346</v>
      </c>
      <c r="B20" s="3">
        <v>1.85</v>
      </c>
    </row>
    <row r="21" spans="1:6" ht="15.75" customHeight="1">
      <c r="A21" s="3" t="s">
        <v>347</v>
      </c>
      <c r="B21" s="3">
        <v>0.31</v>
      </c>
    </row>
    <row r="22" spans="1:6" ht="15.75" customHeight="1">
      <c r="A22" s="3" t="s">
        <v>348</v>
      </c>
      <c r="B22" s="3">
        <v>0</v>
      </c>
    </row>
    <row r="23" spans="1:6" ht="15.75" customHeight="1">
      <c r="A23" s="3" t="s">
        <v>349</v>
      </c>
      <c r="B23" s="3">
        <v>1.21</v>
      </c>
    </row>
    <row r="24" spans="1:6" ht="15.75" customHeight="1">
      <c r="A24" s="3" t="s">
        <v>350</v>
      </c>
      <c r="B24" s="3">
        <v>0.13</v>
      </c>
    </row>
    <row r="25" spans="1:6" ht="15.75" customHeight="1">
      <c r="A25" s="3" t="s">
        <v>351</v>
      </c>
      <c r="B25" s="3">
        <v>0.08</v>
      </c>
    </row>
    <row r="26" spans="1:6" ht="15.75" customHeight="1">
      <c r="A26" s="21" t="s">
        <v>66</v>
      </c>
      <c r="B26" s="3">
        <f>SUM(B20:B25)</f>
        <v>3.58</v>
      </c>
    </row>
    <row r="27" spans="1:6" ht="15.75" customHeight="1">
      <c r="A27" s="3" t="s">
        <v>352</v>
      </c>
      <c r="B27" s="3">
        <v>6.21</v>
      </c>
    </row>
    <row r="28" spans="1:6" ht="15.75" customHeight="1">
      <c r="A28" s="3" t="s">
        <v>353</v>
      </c>
      <c r="B28" s="3">
        <v>2.44</v>
      </c>
    </row>
    <row r="29" spans="1:6" ht="15.75" customHeight="1">
      <c r="A29" s="3" t="s">
        <v>354</v>
      </c>
      <c r="B29" s="3">
        <v>0.76</v>
      </c>
    </row>
    <row r="30" spans="1:6" ht="15.75" customHeight="1">
      <c r="A30" s="3" t="s">
        <v>355</v>
      </c>
      <c r="B30" s="3">
        <v>0.25</v>
      </c>
    </row>
    <row r="31" spans="1:6" ht="15.75" customHeight="1">
      <c r="A31" s="3" t="s">
        <v>356</v>
      </c>
      <c r="B31" s="3">
        <v>5.77</v>
      </c>
    </row>
    <row r="32" spans="1:6" ht="15.75" customHeight="1">
      <c r="A32" s="21" t="s">
        <v>357</v>
      </c>
      <c r="B32" s="3">
        <v>5.9</v>
      </c>
    </row>
    <row r="33" spans="1:2" ht="12.5" customHeight="1">
      <c r="A33" s="3" t="s">
        <v>358</v>
      </c>
      <c r="B33" s="3">
        <v>0.03</v>
      </c>
    </row>
    <row r="34" spans="1:2" ht="12.5" customHeight="1">
      <c r="A34" s="21" t="s">
        <v>72</v>
      </c>
      <c r="B34" s="3">
        <f>SUM(B27:B33)</f>
        <v>21.36</v>
      </c>
    </row>
    <row r="35" spans="1:2" ht="12.5" customHeight="1">
      <c r="A35" s="21" t="s">
        <v>73</v>
      </c>
      <c r="B35" s="3">
        <f>B26+B34</f>
        <v>24.939999999999998</v>
      </c>
    </row>
    <row r="36" spans="1:2" ht="12.5" customHeight="1">
      <c r="A36" s="21" t="s">
        <v>359</v>
      </c>
      <c r="B36" s="3">
        <f>B35-B27-B28-B31-B32</f>
        <v>4.6199999999999957</v>
      </c>
    </row>
    <row r="37" spans="1:2" ht="12.5" customHeight="1">
      <c r="A37" s="21" t="s">
        <v>360</v>
      </c>
      <c r="B37" s="3">
        <v>1.86</v>
      </c>
    </row>
    <row r="38" spans="1:2" ht="12.5" customHeight="1">
      <c r="A38" s="21" t="s">
        <v>361</v>
      </c>
      <c r="B38" s="3">
        <v>6.26</v>
      </c>
    </row>
    <row r="39" spans="1:2" ht="12.5" customHeight="1">
      <c r="A39" s="21" t="s">
        <v>83</v>
      </c>
      <c r="B39" s="3">
        <f>B37+B38</f>
        <v>8.1199999999999992</v>
      </c>
    </row>
    <row r="40" spans="1:2" ht="12.5" customHeight="1">
      <c r="A40" s="21" t="s">
        <v>320</v>
      </c>
      <c r="B40" s="3">
        <f>B35-B39</f>
        <v>16.82</v>
      </c>
    </row>
    <row r="41" spans="1:2" ht="12.5" customHeight="1">
      <c r="A41" s="21" t="s">
        <v>362</v>
      </c>
      <c r="B41" s="3">
        <f>B36-B37</f>
        <v>2.7599999999999953</v>
      </c>
    </row>
  </sheetData>
  <phoneticPr fontId="7"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22"/>
  <sheetViews>
    <sheetView workbookViewId="0"/>
  </sheetViews>
  <sheetFormatPr defaultColWidth="12.6328125" defaultRowHeight="15.75" customHeight="1"/>
  <cols>
    <col min="2" max="2" width="16.7265625" customWidth="1"/>
  </cols>
  <sheetData>
    <row r="1" spans="1:4" ht="15.75" customHeight="1">
      <c r="A1" s="21" t="s">
        <v>363</v>
      </c>
      <c r="B1" s="3" t="s">
        <v>364</v>
      </c>
      <c r="C1" s="3" t="s">
        <v>365</v>
      </c>
    </row>
    <row r="2" spans="1:4" ht="15.75" customHeight="1">
      <c r="A2" s="21" t="s">
        <v>366</v>
      </c>
      <c r="B2" s="3">
        <v>50.819000000000003</v>
      </c>
      <c r="C2" s="3">
        <v>46.83</v>
      </c>
    </row>
    <row r="3" spans="1:4" ht="15.75" customHeight="1">
      <c r="A3" s="21" t="s">
        <v>110</v>
      </c>
      <c r="B3" s="3">
        <v>44.728999999999999</v>
      </c>
      <c r="C3" s="3">
        <v>38.837000000000003</v>
      </c>
    </row>
    <row r="4" spans="1:4" ht="15.75" customHeight="1">
      <c r="A4" s="21" t="s">
        <v>295</v>
      </c>
      <c r="B4" s="3">
        <f>B2-B3</f>
        <v>6.0900000000000034</v>
      </c>
      <c r="C4" s="3">
        <f>C2-C3</f>
        <v>7.992999999999995</v>
      </c>
    </row>
    <row r="5" spans="1:4" ht="15.75" customHeight="1">
      <c r="A5" s="3" t="s">
        <v>367</v>
      </c>
      <c r="B5" s="3">
        <v>6.5869999999999997</v>
      </c>
      <c r="C5" s="3">
        <v>7.07</v>
      </c>
    </row>
    <row r="6" spans="1:4" ht="15.75" customHeight="1">
      <c r="A6" s="24" t="s">
        <v>368</v>
      </c>
      <c r="B6" s="8">
        <f>B5-B4</f>
        <v>0.49699999999999633</v>
      </c>
      <c r="C6" s="8">
        <f>C5-C4</f>
        <v>-0.92299999999999471</v>
      </c>
    </row>
    <row r="7" spans="1:4" ht="15.75" customHeight="1">
      <c r="A7" s="21" t="s">
        <v>24</v>
      </c>
      <c r="B7" s="9">
        <f>B4/B2</f>
        <v>0.11983706881284566</v>
      </c>
      <c r="C7" s="9">
        <f>C4/C2</f>
        <v>0.17068118727311543</v>
      </c>
    </row>
    <row r="8" spans="1:4" ht="15.75" customHeight="1">
      <c r="A8" s="21" t="s">
        <v>369</v>
      </c>
      <c r="B8" s="3">
        <v>16</v>
      </c>
      <c r="C8" s="3">
        <v>17.2</v>
      </c>
    </row>
    <row r="9" spans="1:4" ht="15.75" customHeight="1">
      <c r="A9" s="21" t="s">
        <v>370</v>
      </c>
      <c r="B9" s="3">
        <v>22.1</v>
      </c>
      <c r="C9" s="3">
        <v>23.8</v>
      </c>
    </row>
    <row r="10" spans="1:4" ht="15.75" customHeight="1">
      <c r="A10" s="21" t="s">
        <v>371</v>
      </c>
      <c r="B10" s="3">
        <v>15.6</v>
      </c>
      <c r="C10" s="3">
        <v>16.600000000000001</v>
      </c>
    </row>
    <row r="12" spans="1:4" ht="15.75" customHeight="1">
      <c r="A12" s="21" t="s">
        <v>372</v>
      </c>
      <c r="B12" s="21" t="s">
        <v>373</v>
      </c>
    </row>
    <row r="13" spans="1:4" ht="15.75" customHeight="1">
      <c r="A13" s="3" t="s">
        <v>374</v>
      </c>
      <c r="B13" s="3" t="s">
        <v>375</v>
      </c>
      <c r="C13" s="3" t="s">
        <v>376</v>
      </c>
      <c r="D13" s="3" t="s">
        <v>377</v>
      </c>
    </row>
    <row r="18" spans="1:3" ht="15.75" customHeight="1">
      <c r="A18" s="21" t="s">
        <v>73</v>
      </c>
      <c r="B18" s="3">
        <v>433.339</v>
      </c>
      <c r="C18" s="3">
        <v>466.58</v>
      </c>
    </row>
    <row r="19" spans="1:3" ht="15.75" customHeight="1">
      <c r="A19" s="3" t="s">
        <v>378</v>
      </c>
      <c r="B19" s="3">
        <v>137.47499999999999</v>
      </c>
      <c r="C19" s="3">
        <v>146.626</v>
      </c>
    </row>
    <row r="20" spans="1:3" ht="15.75" customHeight="1">
      <c r="A20" s="21" t="s">
        <v>379</v>
      </c>
      <c r="B20" s="3">
        <v>105.033</v>
      </c>
      <c r="C20" s="3">
        <v>134.892</v>
      </c>
    </row>
    <row r="21" spans="1:3" ht="15.75" customHeight="1">
      <c r="A21" s="3" t="s">
        <v>258</v>
      </c>
      <c r="B21" s="3">
        <v>273.58199999999999</v>
      </c>
      <c r="C21" s="3">
        <v>289.24099999999999</v>
      </c>
    </row>
    <row r="22" spans="1:3" ht="15.75" customHeight="1">
      <c r="A22" s="21" t="s">
        <v>320</v>
      </c>
      <c r="B22" s="3">
        <f>B18-B21</f>
        <v>159.75700000000001</v>
      </c>
      <c r="C22" s="3">
        <f>C18-C21</f>
        <v>177.339</v>
      </c>
    </row>
  </sheetData>
  <phoneticPr fontId="7"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4"/>
  <sheetViews>
    <sheetView workbookViewId="0"/>
  </sheetViews>
  <sheetFormatPr defaultColWidth="12.6328125" defaultRowHeight="15.75" customHeight="1"/>
  <cols>
    <col min="1" max="1" width="19.26953125" customWidth="1"/>
    <col min="8" max="8" width="14" customWidth="1"/>
  </cols>
  <sheetData>
    <row r="1" spans="1:11" ht="15.75" customHeight="1">
      <c r="A1" s="3" t="s">
        <v>0</v>
      </c>
      <c r="B1" s="3"/>
      <c r="C1" s="3" t="s">
        <v>10</v>
      </c>
      <c r="D1" s="3" t="s">
        <v>11</v>
      </c>
      <c r="E1" s="3" t="s">
        <v>12</v>
      </c>
      <c r="F1" s="3" t="s">
        <v>13</v>
      </c>
      <c r="G1" s="3" t="s">
        <v>14</v>
      </c>
      <c r="H1" s="3" t="s">
        <v>15</v>
      </c>
      <c r="I1" s="3" t="s">
        <v>16</v>
      </c>
      <c r="J1" s="3" t="s">
        <v>17</v>
      </c>
      <c r="K1" s="3" t="s">
        <v>18</v>
      </c>
    </row>
    <row r="2" spans="1:11" ht="15.75" customHeight="1">
      <c r="A2" s="21" t="s">
        <v>380</v>
      </c>
      <c r="B2" s="3"/>
      <c r="C2" s="3">
        <v>690.79</v>
      </c>
      <c r="D2" s="3">
        <v>757.48</v>
      </c>
      <c r="E2" s="3">
        <v>742.11</v>
      </c>
      <c r="F2" s="3">
        <v>793.37</v>
      </c>
      <c r="G2" s="3">
        <v>704.17</v>
      </c>
      <c r="H2" s="3">
        <v>727.27</v>
      </c>
      <c r="I2" s="3">
        <v>716.83</v>
      </c>
      <c r="J2" s="3">
        <v>727.38</v>
      </c>
      <c r="K2" s="3">
        <v>719.13</v>
      </c>
    </row>
    <row r="3" spans="1:11" ht="15.75" customHeight="1">
      <c r="A3" s="21" t="s">
        <v>381</v>
      </c>
      <c r="B3" s="3"/>
      <c r="C3" s="3">
        <v>297.94</v>
      </c>
      <c r="D3" s="3">
        <v>257.20999999999998</v>
      </c>
      <c r="E3" s="3">
        <v>250.03</v>
      </c>
      <c r="F3" s="3">
        <v>209.64</v>
      </c>
      <c r="G3" s="3">
        <v>246.6</v>
      </c>
      <c r="H3" s="3">
        <v>214.43</v>
      </c>
      <c r="I3" s="3">
        <v>186.38</v>
      </c>
      <c r="J3" s="3">
        <v>179.88</v>
      </c>
      <c r="K3" s="3">
        <v>215.18</v>
      </c>
    </row>
    <row r="4" spans="1:11" ht="15.75" customHeight="1">
      <c r="A4" s="21" t="s">
        <v>382</v>
      </c>
      <c r="B4" s="3"/>
      <c r="C4" s="3">
        <v>543.79</v>
      </c>
      <c r="D4" s="3">
        <v>520.48</v>
      </c>
      <c r="E4" s="3">
        <v>486.35</v>
      </c>
      <c r="F4" s="3">
        <v>487.01</v>
      </c>
      <c r="G4" s="3">
        <v>472.44</v>
      </c>
      <c r="H4" s="3">
        <v>448.44</v>
      </c>
      <c r="I4" s="3">
        <v>422.08</v>
      </c>
      <c r="J4" s="3">
        <v>427.68</v>
      </c>
      <c r="K4" s="3">
        <v>479.58</v>
      </c>
    </row>
    <row r="5" spans="1:11" ht="15.75" customHeight="1">
      <c r="A5" s="21" t="s">
        <v>94</v>
      </c>
      <c r="B5" s="3"/>
      <c r="C5" s="3">
        <v>19.440000000000001</v>
      </c>
      <c r="D5" s="3">
        <v>11.08</v>
      </c>
      <c r="E5" s="3">
        <v>13.59</v>
      </c>
      <c r="F5" s="3">
        <v>9.84</v>
      </c>
      <c r="G5" s="3">
        <v>26.33</v>
      </c>
      <c r="H5" s="3">
        <v>10.79</v>
      </c>
      <c r="I5" s="3">
        <v>15.05</v>
      </c>
      <c r="J5" s="3">
        <v>19.77</v>
      </c>
      <c r="K5" s="3">
        <v>27.99</v>
      </c>
    </row>
    <row r="6" spans="1:11" ht="15.75" customHeight="1">
      <c r="A6" s="21" t="s">
        <v>383</v>
      </c>
      <c r="B6" s="3">
        <f>C6/D6</f>
        <v>1.0036928051738077</v>
      </c>
      <c r="C6" s="3">
        <f t="shared" ref="C6:K6" si="0">SUM(C2:C5)</f>
        <v>1551.96</v>
      </c>
      <c r="D6" s="3">
        <f t="shared" si="0"/>
        <v>1546.25</v>
      </c>
      <c r="E6" s="3">
        <f t="shared" si="0"/>
        <v>1492.08</v>
      </c>
      <c r="F6" s="3">
        <f t="shared" si="0"/>
        <v>1499.86</v>
      </c>
      <c r="G6" s="3">
        <f t="shared" si="0"/>
        <v>1449.54</v>
      </c>
      <c r="H6" s="3">
        <f t="shared" si="0"/>
        <v>1400.93</v>
      </c>
      <c r="I6" s="3">
        <f t="shared" si="0"/>
        <v>1340.34</v>
      </c>
      <c r="J6" s="3">
        <f t="shared" si="0"/>
        <v>1354.71</v>
      </c>
      <c r="K6" s="3">
        <f t="shared" si="0"/>
        <v>1441.8799999999999</v>
      </c>
    </row>
    <row r="7" spans="1:11" ht="15.75" customHeight="1">
      <c r="A7" s="21" t="s">
        <v>384</v>
      </c>
      <c r="B7" s="3">
        <f>C7/G7</f>
        <v>0.93384015782129626</v>
      </c>
      <c r="C7" s="3">
        <v>776.32</v>
      </c>
      <c r="D7" s="3">
        <v>781.02</v>
      </c>
      <c r="E7" s="3">
        <v>783.68</v>
      </c>
      <c r="F7" s="3">
        <v>818.04</v>
      </c>
      <c r="G7" s="3">
        <v>831.32</v>
      </c>
      <c r="H7" s="3">
        <v>781.1</v>
      </c>
      <c r="I7" s="3">
        <v>761.67</v>
      </c>
      <c r="J7" s="3">
        <v>783.97</v>
      </c>
      <c r="K7" s="3">
        <v>863.71</v>
      </c>
    </row>
    <row r="8" spans="1:11" ht="15.75" customHeight="1">
      <c r="A8" s="21" t="s">
        <v>385</v>
      </c>
      <c r="B8" s="3">
        <f>C8/G8</f>
        <v>1.254634272589046</v>
      </c>
      <c r="C8" s="3">
        <f t="shared" ref="C8:K8" si="1">C6-C7</f>
        <v>775.64</v>
      </c>
      <c r="D8" s="3">
        <f t="shared" si="1"/>
        <v>765.23</v>
      </c>
      <c r="E8" s="3">
        <f t="shared" si="1"/>
        <v>708.4</v>
      </c>
      <c r="F8" s="3">
        <f t="shared" si="1"/>
        <v>681.81999999999994</v>
      </c>
      <c r="G8" s="3">
        <f t="shared" si="1"/>
        <v>618.21999999999991</v>
      </c>
      <c r="H8" s="3">
        <f t="shared" si="1"/>
        <v>619.83000000000004</v>
      </c>
      <c r="I8" s="3">
        <f t="shared" si="1"/>
        <v>578.66999999999996</v>
      </c>
      <c r="J8" s="3">
        <f t="shared" si="1"/>
        <v>570.74</v>
      </c>
      <c r="K8" s="3">
        <f t="shared" si="1"/>
        <v>578.16999999999985</v>
      </c>
    </row>
    <row r="9" spans="1:11" ht="15.75" customHeight="1">
      <c r="A9" s="21" t="s">
        <v>24</v>
      </c>
      <c r="B9" s="9"/>
      <c r="C9" s="9">
        <f t="shared" ref="C9:K9" si="2">C8/C6</f>
        <v>0.49978092218871617</v>
      </c>
      <c r="D9" s="9">
        <f t="shared" si="2"/>
        <v>0.49489409862570738</v>
      </c>
      <c r="E9" s="9">
        <f t="shared" si="2"/>
        <v>0.47477347059138919</v>
      </c>
      <c r="F9" s="9">
        <f t="shared" si="2"/>
        <v>0.45458909498219835</v>
      </c>
      <c r="G9" s="9">
        <f t="shared" si="2"/>
        <v>0.42649392220980442</v>
      </c>
      <c r="H9" s="9">
        <f t="shared" si="2"/>
        <v>0.44244180651424414</v>
      </c>
      <c r="I9" s="9">
        <f t="shared" si="2"/>
        <v>0.43173373920050134</v>
      </c>
      <c r="J9" s="9">
        <f t="shared" si="2"/>
        <v>0.42130049973795131</v>
      </c>
      <c r="K9" s="9">
        <f t="shared" si="2"/>
        <v>0.40098343828890054</v>
      </c>
    </row>
    <row r="10" spans="1:11" ht="15.75" customHeight="1">
      <c r="A10" s="21" t="s">
        <v>386</v>
      </c>
      <c r="B10" s="3"/>
      <c r="C10" s="3">
        <v>39.17</v>
      </c>
      <c r="D10" s="3">
        <v>35.090000000000003</v>
      </c>
      <c r="E10" s="3">
        <v>34.19</v>
      </c>
      <c r="F10" s="3">
        <v>29.63</v>
      </c>
      <c r="G10" s="3">
        <v>25.82</v>
      </c>
      <c r="H10" s="3">
        <v>23.28</v>
      </c>
      <c r="I10" s="3">
        <v>19.45</v>
      </c>
      <c r="J10" s="3">
        <v>17.37</v>
      </c>
      <c r="K10" s="3">
        <v>17.03</v>
      </c>
    </row>
    <row r="11" spans="1:11" ht="15.75" customHeight="1">
      <c r="A11" s="21" t="s">
        <v>387</v>
      </c>
      <c r="B11" s="3"/>
      <c r="C11" s="3">
        <v>19.829999999999998</v>
      </c>
      <c r="D11" s="3">
        <v>26.44</v>
      </c>
      <c r="E11" s="3">
        <v>-2.2999999999999998</v>
      </c>
      <c r="F11" s="3">
        <v>9.44</v>
      </c>
      <c r="G11" s="3">
        <v>858.54</v>
      </c>
      <c r="H11" s="3">
        <v>208.86</v>
      </c>
      <c r="I11" s="3">
        <v>44.2</v>
      </c>
      <c r="J11" s="3">
        <v>131.33000000000001</v>
      </c>
      <c r="K11" s="3">
        <v>861.99</v>
      </c>
    </row>
    <row r="12" spans="1:11" ht="15.75" customHeight="1">
      <c r="A12" s="21" t="s">
        <v>388</v>
      </c>
      <c r="B12" s="3"/>
      <c r="C12" s="3">
        <v>109.71</v>
      </c>
      <c r="D12" s="3">
        <v>79.12</v>
      </c>
      <c r="E12" s="3">
        <v>83.1</v>
      </c>
      <c r="F12" s="3">
        <v>70.180000000000007</v>
      </c>
      <c r="G12" s="3">
        <v>61.15</v>
      </c>
      <c r="H12" s="3">
        <v>71.239999999999995</v>
      </c>
      <c r="I12" s="3">
        <v>79.319999999999993</v>
      </c>
      <c r="J12" s="3">
        <v>80.58</v>
      </c>
      <c r="K12" s="3">
        <v>116.16</v>
      </c>
    </row>
    <row r="13" spans="1:11" ht="15.75" customHeight="1">
      <c r="A13" s="21" t="s">
        <v>389</v>
      </c>
      <c r="B13" s="3"/>
      <c r="C13" s="3">
        <v>271.75</v>
      </c>
      <c r="D13" s="3">
        <v>262.89</v>
      </c>
      <c r="E13" s="3">
        <v>254.19</v>
      </c>
      <c r="F13" s="3">
        <v>246.42</v>
      </c>
      <c r="G13" s="3">
        <v>273.14</v>
      </c>
      <c r="H13" s="3">
        <v>264.8</v>
      </c>
      <c r="I13" s="3">
        <v>262.33</v>
      </c>
      <c r="J13" s="3">
        <v>266.69</v>
      </c>
      <c r="K13" s="3">
        <v>243.8</v>
      </c>
    </row>
    <row r="14" spans="1:11" ht="15.75" customHeight="1">
      <c r="A14" s="21" t="s">
        <v>390</v>
      </c>
      <c r="C14" s="3">
        <f t="shared" ref="C14:K14" si="3">C8+C10+C11-C12-C13</f>
        <v>453.17999999999995</v>
      </c>
      <c r="D14" s="3">
        <f t="shared" si="3"/>
        <v>484.75000000000011</v>
      </c>
      <c r="E14" s="3">
        <f t="shared" si="3"/>
        <v>402.99999999999994</v>
      </c>
      <c r="F14" s="3">
        <f t="shared" si="3"/>
        <v>404.29000000000008</v>
      </c>
      <c r="G14" s="3">
        <f t="shared" si="3"/>
        <v>1168.29</v>
      </c>
      <c r="H14" s="3">
        <f t="shared" si="3"/>
        <v>515.93000000000006</v>
      </c>
      <c r="I14" s="3">
        <f t="shared" si="3"/>
        <v>300.67</v>
      </c>
      <c r="J14" s="3">
        <f t="shared" si="3"/>
        <v>372.17</v>
      </c>
      <c r="K14" s="3">
        <f t="shared" si="3"/>
        <v>1097.2299999999998</v>
      </c>
    </row>
    <row r="15" spans="1:11" ht="15.75" customHeight="1">
      <c r="A15" s="21" t="s">
        <v>391</v>
      </c>
      <c r="B15" s="3"/>
      <c r="C15" s="3">
        <v>-67.3</v>
      </c>
    </row>
    <row r="16" spans="1:11" ht="15.75" customHeight="1">
      <c r="A16" s="21" t="s">
        <v>392</v>
      </c>
      <c r="B16" s="3"/>
      <c r="C16" s="3">
        <v>-35.43</v>
      </c>
      <c r="D16" s="3">
        <v>-27.84</v>
      </c>
      <c r="E16" s="3">
        <v>-32.909999999999997</v>
      </c>
      <c r="F16" s="3">
        <v>-26.5</v>
      </c>
      <c r="G16" s="3">
        <v>-36.58</v>
      </c>
      <c r="H16" s="3">
        <v>-19.5</v>
      </c>
      <c r="I16" s="3">
        <v>-18.09</v>
      </c>
      <c r="J16" s="3">
        <v>-19.350000000000001</v>
      </c>
      <c r="K16" s="3">
        <v>-18.63</v>
      </c>
    </row>
    <row r="17" spans="1:11" ht="15.75" customHeight="1">
      <c r="A17" s="21" t="s">
        <v>393</v>
      </c>
      <c r="B17" s="3"/>
      <c r="C17" s="3">
        <v>24.63</v>
      </c>
      <c r="D17" s="3">
        <v>20.98</v>
      </c>
      <c r="E17" s="3">
        <v>11.59</v>
      </c>
      <c r="F17" s="3">
        <v>0.8</v>
      </c>
      <c r="G17" s="3">
        <v>-16.920000000000002</v>
      </c>
      <c r="H17" s="3">
        <v>-36.97</v>
      </c>
      <c r="I17" s="3">
        <v>-44.6</v>
      </c>
      <c r="J17" s="3">
        <v>-62.8</v>
      </c>
      <c r="K17" s="3">
        <v>-82.67</v>
      </c>
    </row>
    <row r="18" spans="1:11" ht="15.75" customHeight="1">
      <c r="A18" s="21" t="s">
        <v>394</v>
      </c>
      <c r="C18" s="3">
        <f t="shared" ref="C18:K18" si="4">SUM(C14:C17)</f>
        <v>375.07999999999993</v>
      </c>
      <c r="D18" s="3">
        <f t="shared" si="4"/>
        <v>477.89000000000016</v>
      </c>
      <c r="E18" s="3">
        <f t="shared" si="4"/>
        <v>381.67999999999989</v>
      </c>
      <c r="F18" s="3">
        <f t="shared" si="4"/>
        <v>378.59000000000009</v>
      </c>
      <c r="G18" s="3">
        <f t="shared" si="4"/>
        <v>1114.79</v>
      </c>
      <c r="H18" s="3">
        <f t="shared" si="4"/>
        <v>459.46000000000004</v>
      </c>
      <c r="I18" s="3">
        <f t="shared" si="4"/>
        <v>237.98000000000005</v>
      </c>
      <c r="J18" s="3">
        <f t="shared" si="4"/>
        <v>290.02</v>
      </c>
      <c r="K18" s="3">
        <f t="shared" si="4"/>
        <v>995.92999999999972</v>
      </c>
    </row>
    <row r="19" spans="1:11" ht="15.75" customHeight="1">
      <c r="A19" s="21" t="s">
        <v>395</v>
      </c>
      <c r="B19" s="3"/>
      <c r="C19" s="3">
        <v>-96.58</v>
      </c>
      <c r="D19" s="3">
        <v>-110.08</v>
      </c>
      <c r="E19" s="3">
        <v>-111.45</v>
      </c>
      <c r="F19" s="3">
        <v>-114.65</v>
      </c>
      <c r="G19" s="3">
        <v>-45.75</v>
      </c>
      <c r="H19" s="3">
        <v>-71.040000000000006</v>
      </c>
      <c r="I19" s="3">
        <v>-45.68</v>
      </c>
      <c r="J19" s="3">
        <v>-52.69</v>
      </c>
      <c r="K19" s="3">
        <v>-38.880000000000003</v>
      </c>
    </row>
    <row r="20" spans="1:11" ht="15.75" customHeight="1">
      <c r="A20" s="21" t="s">
        <v>396</v>
      </c>
      <c r="C20" s="3">
        <f t="shared" ref="C20:K20" si="5">C18+C19</f>
        <v>278.49999999999994</v>
      </c>
      <c r="D20" s="3">
        <f t="shared" si="5"/>
        <v>367.81000000000017</v>
      </c>
      <c r="E20" s="3">
        <f t="shared" si="5"/>
        <v>270.2299999999999</v>
      </c>
      <c r="F20" s="3">
        <f t="shared" si="5"/>
        <v>263.94000000000005</v>
      </c>
      <c r="G20" s="3">
        <f t="shared" si="5"/>
        <v>1069.04</v>
      </c>
      <c r="H20" s="3">
        <f t="shared" si="5"/>
        <v>388.42</v>
      </c>
      <c r="I20" s="3">
        <f t="shared" si="5"/>
        <v>192.30000000000004</v>
      </c>
      <c r="J20" s="3">
        <f t="shared" si="5"/>
        <v>237.32999999999998</v>
      </c>
      <c r="K20" s="3">
        <f t="shared" si="5"/>
        <v>957.04999999999973</v>
      </c>
    </row>
    <row r="21" spans="1:11" ht="15.75" customHeight="1">
      <c r="F21" s="3" t="s">
        <v>50</v>
      </c>
      <c r="G21" s="21" t="s">
        <v>397</v>
      </c>
      <c r="H21" s="21" t="s">
        <v>307</v>
      </c>
      <c r="I21" s="3" t="s">
        <v>398</v>
      </c>
    </row>
    <row r="22" spans="1:11" ht="15.75" customHeight="1">
      <c r="A22" s="21" t="s">
        <v>122</v>
      </c>
      <c r="E22" s="3">
        <f>SUM(C20:F20)</f>
        <v>1180.48</v>
      </c>
      <c r="F22" s="3">
        <f ca="1">H23/E22</f>
        <v>30.240977387787321</v>
      </c>
      <c r="G22" s="3">
        <f ca="1">IFERROR(__xludf.DUMMYFUNCTION("GOOGLEFINANCE(""HKG:0700"",""price"")"),453.2)</f>
        <v>453.2</v>
      </c>
      <c r="H22" s="3">
        <f ca="1">IFERROR(__xludf.DUMMYFUNCTION("GOOGLEFINANCE(""HKG:0700"",""marketcap"")/100000000"),41323.33908105)</f>
        <v>41323.339081049999</v>
      </c>
      <c r="I22" s="3">
        <f ca="1">IFERROR(__xludf.DUMMYFUNCTION("GOOGLEFINANCE(""CURRENCY:HKDCNY"")"),0.8638912)</f>
        <v>0.86389119999999997</v>
      </c>
    </row>
    <row r="23" spans="1:11" ht="15.75" customHeight="1">
      <c r="A23" s="21" t="s">
        <v>399</v>
      </c>
      <c r="E23" s="3">
        <f>E22-C11-D11-F11-E11-C15</f>
        <v>1194.3699999999999</v>
      </c>
      <c r="F23" s="3">
        <f ca="1">H23/E23</f>
        <v>29.889288065453069</v>
      </c>
      <c r="G23" s="3">
        <f ca="1">G22*I22</f>
        <v>391.51549183999998</v>
      </c>
      <c r="H23" s="3">
        <f ca="1">H22*I22</f>
        <v>35698.868986735179</v>
      </c>
    </row>
    <row r="24" spans="1:11" ht="15.75" customHeight="1">
      <c r="F24" s="3">
        <f ca="1">H24/E23</f>
        <v>22.574293549515797</v>
      </c>
      <c r="H24" s="3">
        <f ca="1">H23-C34</f>
        <v>26962.058986735181</v>
      </c>
    </row>
    <row r="28" spans="1:11" ht="15.75" customHeight="1">
      <c r="A28" s="21" t="s">
        <v>319</v>
      </c>
      <c r="B28" s="3"/>
      <c r="C28" s="3">
        <v>10588</v>
      </c>
      <c r="D28" s="3">
        <v>10352.32</v>
      </c>
      <c r="E28" s="3">
        <v>10470.94</v>
      </c>
      <c r="F28" s="3">
        <v>10430.27</v>
      </c>
      <c r="G28" s="3">
        <v>10121.42</v>
      </c>
      <c r="H28" s="3">
        <v>10637.21</v>
      </c>
      <c r="I28" s="3">
        <v>10121.42</v>
      </c>
      <c r="J28" s="3">
        <v>10121.42</v>
      </c>
      <c r="K28" s="3"/>
    </row>
    <row r="29" spans="1:11" ht="15.75" customHeight="1">
      <c r="A29" s="21" t="s">
        <v>318</v>
      </c>
      <c r="B29" s="3"/>
      <c r="C29" s="3">
        <v>5184.46</v>
      </c>
      <c r="D29" s="3">
        <v>5060.01</v>
      </c>
      <c r="E29" s="3">
        <v>4904.09</v>
      </c>
      <c r="F29" s="3">
        <v>4741.79</v>
      </c>
      <c r="G29" s="3">
        <v>5659.89</v>
      </c>
      <c r="H29" s="3">
        <v>4144.22</v>
      </c>
      <c r="I29" s="3">
        <v>5659.89</v>
      </c>
      <c r="J29" s="3">
        <v>5659.89</v>
      </c>
      <c r="K29" s="3"/>
    </row>
    <row r="30" spans="1:11" ht="15.75" customHeight="1">
      <c r="A30" s="21" t="s">
        <v>73</v>
      </c>
      <c r="C30" s="3">
        <f t="shared" ref="C30:J30" si="6">C28+C29</f>
        <v>15772.46</v>
      </c>
      <c r="D30" s="3">
        <f t="shared" si="6"/>
        <v>15412.33</v>
      </c>
      <c r="E30" s="3">
        <f t="shared" si="6"/>
        <v>15375.03</v>
      </c>
      <c r="F30" s="3">
        <f t="shared" si="6"/>
        <v>15172.060000000001</v>
      </c>
      <c r="G30" s="3">
        <f t="shared" si="6"/>
        <v>15781.310000000001</v>
      </c>
      <c r="H30" s="3">
        <f t="shared" si="6"/>
        <v>14781.43</v>
      </c>
      <c r="I30" s="3">
        <f t="shared" si="6"/>
        <v>15781.310000000001</v>
      </c>
      <c r="J30" s="3">
        <f t="shared" si="6"/>
        <v>15781.310000000001</v>
      </c>
    </row>
    <row r="31" spans="1:11" ht="15.75" customHeight="1">
      <c r="A31" s="21" t="s">
        <v>400</v>
      </c>
      <c r="B31" s="3"/>
      <c r="C31" s="3">
        <v>3514.08</v>
      </c>
      <c r="D31" s="3">
        <v>3479.44</v>
      </c>
    </row>
    <row r="32" spans="1:11" ht="15.75" customHeight="1">
      <c r="A32" s="21" t="s">
        <v>401</v>
      </c>
      <c r="B32" s="3"/>
      <c r="C32" s="3">
        <v>3521.57</v>
      </c>
      <c r="D32" s="3">
        <v>3623.44</v>
      </c>
    </row>
    <row r="33" spans="1:4" ht="12.5" customHeight="1">
      <c r="A33" s="21" t="s">
        <v>83</v>
      </c>
      <c r="C33" s="3">
        <f>C31+C32</f>
        <v>7035.65</v>
      </c>
      <c r="D33" s="3">
        <f>D31+D32</f>
        <v>7102.88</v>
      </c>
    </row>
    <row r="34" spans="1:4" ht="12.5" customHeight="1">
      <c r="A34" s="21" t="s">
        <v>320</v>
      </c>
      <c r="C34" s="3">
        <f>C30-C33</f>
        <v>8736.81</v>
      </c>
      <c r="D34" s="3">
        <f>D30-D33</f>
        <v>8309.4500000000007</v>
      </c>
    </row>
  </sheetData>
  <phoneticPr fontId="7"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30"/>
  <sheetViews>
    <sheetView workbookViewId="0"/>
  </sheetViews>
  <sheetFormatPr defaultColWidth="12.6328125" defaultRowHeight="15.75" customHeight="1"/>
  <sheetData>
    <row r="1" spans="1:7" ht="15.75" customHeight="1">
      <c r="A1" s="21" t="s">
        <v>402</v>
      </c>
      <c r="B1" s="3" t="s">
        <v>11</v>
      </c>
      <c r="C1" s="3" t="s">
        <v>12</v>
      </c>
      <c r="D1" s="3" t="s">
        <v>13</v>
      </c>
      <c r="E1" s="3"/>
      <c r="F1" s="3" t="s">
        <v>14</v>
      </c>
      <c r="G1" s="3" t="s">
        <v>15</v>
      </c>
    </row>
    <row r="2" spans="1:7" ht="15.75" customHeight="1">
      <c r="A2" s="21" t="s">
        <v>403</v>
      </c>
      <c r="B2" s="3">
        <v>13.592000000000001</v>
      </c>
      <c r="C2" s="3">
        <v>13.922000000000001</v>
      </c>
    </row>
    <row r="3" spans="1:7" ht="15.75" customHeight="1">
      <c r="A3" s="21" t="s">
        <v>404</v>
      </c>
      <c r="B3" s="3">
        <v>11.667999999999999</v>
      </c>
      <c r="C3" s="3">
        <v>12.032999999999999</v>
      </c>
    </row>
    <row r="4" spans="1:7" ht="15.75" customHeight="1">
      <c r="A4" s="21" t="s">
        <v>295</v>
      </c>
      <c r="B4" s="3">
        <f>B2-B3</f>
        <v>1.9240000000000013</v>
      </c>
      <c r="C4" s="3">
        <f>C2-C3</f>
        <v>1.8890000000000011</v>
      </c>
    </row>
    <row r="5" spans="1:7" ht="15.75" customHeight="1">
      <c r="A5" s="21" t="s">
        <v>24</v>
      </c>
      <c r="B5" s="9">
        <f>B4/B2</f>
        <v>0.14155385520894653</v>
      </c>
      <c r="C5" s="9">
        <f>C4/C2</f>
        <v>0.13568452808504533</v>
      </c>
    </row>
    <row r="6" spans="1:7" ht="15.75" customHeight="1">
      <c r="A6" s="3" t="s">
        <v>25</v>
      </c>
      <c r="B6" s="3">
        <v>0.9</v>
      </c>
      <c r="C6" s="3">
        <v>0.87</v>
      </c>
    </row>
    <row r="7" spans="1:7" ht="15.75" customHeight="1">
      <c r="A7" s="3" t="s">
        <v>26</v>
      </c>
      <c r="B7" s="3">
        <v>0.51</v>
      </c>
      <c r="C7" s="3">
        <v>0.46899999999999997</v>
      </c>
    </row>
    <row r="8" spans="1:7" ht="15.75" customHeight="1">
      <c r="A8" s="21" t="s">
        <v>405</v>
      </c>
      <c r="B8" s="3">
        <v>0.745</v>
      </c>
      <c r="C8" s="3">
        <v>0.71</v>
      </c>
    </row>
    <row r="9" spans="1:7" ht="15.75" customHeight="1">
      <c r="A9" s="21" t="s">
        <v>368</v>
      </c>
      <c r="B9" s="3">
        <v>0.14299999999999999</v>
      </c>
      <c r="C9" s="3">
        <v>8.5999999999999993E-2</v>
      </c>
    </row>
    <row r="10" spans="1:7" ht="15.75" customHeight="1">
      <c r="A10" s="21" t="s">
        <v>406</v>
      </c>
      <c r="B10" s="3">
        <f>B6+B7+B8-B9</f>
        <v>2.0120000000000005</v>
      </c>
      <c r="C10" s="3">
        <f>C6+C7+C8-C9</f>
        <v>1.9629999999999999</v>
      </c>
    </row>
    <row r="11" spans="1:7" ht="15.75" customHeight="1">
      <c r="A11" s="21" t="s">
        <v>390</v>
      </c>
      <c r="B11" s="3">
        <f>B4-B10</f>
        <v>-8.799999999999919E-2</v>
      </c>
      <c r="C11" s="3">
        <f>C4-C10</f>
        <v>-7.3999999999998733E-2</v>
      </c>
    </row>
    <row r="12" spans="1:7" ht="15.75" customHeight="1">
      <c r="A12" s="21" t="s">
        <v>407</v>
      </c>
      <c r="B12" s="3">
        <v>1.4E-2</v>
      </c>
      <c r="C12" s="3">
        <v>-0.53600000000000003</v>
      </c>
    </row>
    <row r="13" spans="1:7" ht="15.75" customHeight="1">
      <c r="A13" s="3" t="s">
        <v>408</v>
      </c>
      <c r="B13" s="3">
        <v>0.80700000000000005</v>
      </c>
      <c r="C13" s="3">
        <v>0.67300000000000004</v>
      </c>
    </row>
    <row r="14" spans="1:7" ht="15.75" customHeight="1">
      <c r="A14" s="3" t="s">
        <v>409</v>
      </c>
      <c r="B14" s="3">
        <v>0</v>
      </c>
      <c r="C14" s="3">
        <v>1.6E-2</v>
      </c>
    </row>
    <row r="15" spans="1:7" ht="15.75" customHeight="1">
      <c r="A15" s="21" t="s">
        <v>394</v>
      </c>
      <c r="B15" s="3">
        <f>SUM(B11:B14)</f>
        <v>0.73300000000000087</v>
      </c>
      <c r="C15" s="3">
        <f>SUM(C11:C14)</f>
        <v>7.9000000000001278E-2</v>
      </c>
    </row>
    <row r="16" spans="1:7" ht="15.75" customHeight="1">
      <c r="A16" s="21" t="s">
        <v>395</v>
      </c>
      <c r="B16" s="3">
        <v>0</v>
      </c>
      <c r="C16" s="3">
        <v>0</v>
      </c>
    </row>
    <row r="17" spans="1:7" ht="15.75" customHeight="1">
      <c r="A17" s="3" t="s">
        <v>410</v>
      </c>
      <c r="B17" s="3">
        <v>0.03</v>
      </c>
      <c r="C17" s="3">
        <v>-8.9999999999999993E-3</v>
      </c>
    </row>
    <row r="18" spans="1:7" ht="15.75" customHeight="1">
      <c r="A18" s="21" t="s">
        <v>396</v>
      </c>
      <c r="B18" s="3">
        <f>B15+B16+B17</f>
        <v>0.7630000000000009</v>
      </c>
      <c r="C18" s="3">
        <f>C15+C16+C17</f>
        <v>7.0000000000001283E-2</v>
      </c>
    </row>
    <row r="19" spans="1:7" ht="15.75" customHeight="1">
      <c r="A19" s="21" t="s">
        <v>304</v>
      </c>
      <c r="B19" s="3">
        <v>2.39</v>
      </c>
      <c r="C19" s="3">
        <v>0.21</v>
      </c>
      <c r="D19" s="3">
        <v>0.45</v>
      </c>
      <c r="E19" s="3"/>
      <c r="F19" s="3">
        <v>1.42</v>
      </c>
      <c r="G19" s="3">
        <v>0.92</v>
      </c>
    </row>
    <row r="20" spans="1:7" ht="15.75" customHeight="1">
      <c r="A20" s="3" t="s">
        <v>411</v>
      </c>
      <c r="B20" s="3">
        <v>2.39</v>
      </c>
      <c r="C20" s="3">
        <v>0.21</v>
      </c>
      <c r="D20" s="3">
        <v>0.45</v>
      </c>
      <c r="E20" s="3"/>
      <c r="F20" s="3">
        <v>1.42</v>
      </c>
      <c r="G20" s="3">
        <v>0.92</v>
      </c>
    </row>
    <row r="21" spans="1:7" ht="15.75" customHeight="1">
      <c r="A21" s="21" t="s">
        <v>412</v>
      </c>
      <c r="B21" s="3">
        <v>0.24</v>
      </c>
      <c r="C21" s="3">
        <f>C19/10</f>
        <v>2.0999999999999998E-2</v>
      </c>
      <c r="D21" s="3">
        <f>D19/10</f>
        <v>4.4999999999999998E-2</v>
      </c>
      <c r="E21" s="3"/>
      <c r="F21" s="3">
        <v>0.14000000000000001</v>
      </c>
      <c r="G21" s="3">
        <f>G19/10</f>
        <v>9.1999999999999998E-2</v>
      </c>
    </row>
    <row r="22" spans="1:7" ht="15.75" customHeight="1">
      <c r="A22" s="3" t="s">
        <v>413</v>
      </c>
      <c r="B22" s="3">
        <v>0.24</v>
      </c>
      <c r="C22" s="3">
        <f>C20/10</f>
        <v>2.0999999999999998E-2</v>
      </c>
      <c r="D22" s="3">
        <f>D20/10</f>
        <v>4.4999999999999998E-2</v>
      </c>
      <c r="E22" s="3"/>
      <c r="F22" s="3">
        <v>0.14000000000000001</v>
      </c>
      <c r="G22" s="3">
        <f>G20/10</f>
        <v>9.1999999999999998E-2</v>
      </c>
    </row>
    <row r="23" spans="1:7" ht="15.75" customHeight="1">
      <c r="D23" s="21" t="s">
        <v>414</v>
      </c>
      <c r="E23" s="21" t="s">
        <v>51</v>
      </c>
      <c r="F23" s="21" t="s">
        <v>49</v>
      </c>
      <c r="G23" s="3" t="s">
        <v>48</v>
      </c>
    </row>
    <row r="24" spans="1:7" ht="15.75" customHeight="1">
      <c r="E24" s="3">
        <f ca="1">IFERROR(__xludf.DUMMYFUNCTION("GOOGLEFINANCE(""NASDAQ:DOYU"",""marketcap"")/100000000"),1.508943)</f>
        <v>1.5089429999999999</v>
      </c>
      <c r="F24" s="3">
        <f ca="1">IFERROR(__xludf.DUMMYFUNCTION("GOOGLEFINANCE(""NASDAQ:DOYU"",""price"")"),5)</f>
        <v>5</v>
      </c>
      <c r="G24" s="3">
        <f ca="1">IFERROR(__xludf.DUMMYFUNCTION("GOOGLEFINANCE(""CURRENCY:USDCNY"")"),6.7656481)</f>
        <v>6.7656480999999999</v>
      </c>
    </row>
    <row r="25" spans="1:7" ht="15.75" customHeight="1">
      <c r="A25" s="3" t="s">
        <v>411</v>
      </c>
      <c r="C25" s="3">
        <f>SUM(B22:F22)</f>
        <v>0.44600000000000001</v>
      </c>
      <c r="D25" s="3">
        <f ca="1">F25/C25</f>
        <v>75.848072869955161</v>
      </c>
      <c r="E25" s="3">
        <f ca="1">E24*G24</f>
        <v>10.208977340958299</v>
      </c>
      <c r="F25" s="3">
        <f ca="1">F24*G24</f>
        <v>33.8282405</v>
      </c>
    </row>
    <row r="28" spans="1:7" ht="15.75" customHeight="1">
      <c r="A28" s="21" t="s">
        <v>415</v>
      </c>
      <c r="B28" s="3">
        <v>42.09</v>
      </c>
      <c r="C28" s="3">
        <v>45.15</v>
      </c>
    </row>
    <row r="29" spans="1:7" ht="15.75" customHeight="1">
      <c r="A29" s="21" t="s">
        <v>416</v>
      </c>
      <c r="B29" s="3">
        <f>B30-B28</f>
        <v>28.840000000000003</v>
      </c>
      <c r="C29" s="3">
        <f>C30-C28</f>
        <v>25.681999999999995</v>
      </c>
    </row>
    <row r="30" spans="1:7" ht="15.75" customHeight="1">
      <c r="A30" s="21" t="s">
        <v>73</v>
      </c>
      <c r="B30" s="3">
        <v>70.930000000000007</v>
      </c>
      <c r="C30" s="3">
        <v>70.831999999999994</v>
      </c>
    </row>
  </sheetData>
  <phoneticPr fontId="7"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34"/>
  <sheetViews>
    <sheetView workbookViewId="0"/>
  </sheetViews>
  <sheetFormatPr defaultColWidth="12.6328125" defaultRowHeight="15.75" customHeight="1"/>
  <cols>
    <col min="1" max="1" width="21.6328125" customWidth="1"/>
  </cols>
  <sheetData>
    <row r="1" spans="1:5" ht="15.75" customHeight="1">
      <c r="A1" s="21" t="s">
        <v>417</v>
      </c>
      <c r="B1" s="3" t="s">
        <v>11</v>
      </c>
      <c r="C1" s="3"/>
      <c r="D1" s="3"/>
      <c r="E1" s="3" t="s">
        <v>15</v>
      </c>
    </row>
    <row r="2" spans="1:5" ht="15.75" customHeight="1">
      <c r="A2" s="21" t="s">
        <v>418</v>
      </c>
      <c r="B2" s="3">
        <v>6.23</v>
      </c>
      <c r="C2" s="3"/>
      <c r="D2" s="3"/>
      <c r="E2" s="3">
        <v>5.7640000000000002</v>
      </c>
    </row>
    <row r="3" spans="1:5" ht="15.75" customHeight="1">
      <c r="A3" s="21" t="s">
        <v>368</v>
      </c>
      <c r="B3" s="3">
        <v>0.51100000000000001</v>
      </c>
      <c r="C3" s="3"/>
      <c r="D3" s="3"/>
      <c r="E3" s="3">
        <v>0.14000000000000001</v>
      </c>
    </row>
    <row r="4" spans="1:5" ht="15.75" customHeight="1">
      <c r="A4" s="21" t="s">
        <v>383</v>
      </c>
      <c r="B4" s="3">
        <f>SUM(B2:B3)</f>
        <v>6.7410000000000005</v>
      </c>
      <c r="E4" s="3">
        <f>SUM(E2:E3)</f>
        <v>5.9039999999999999</v>
      </c>
    </row>
    <row r="5" spans="1:5" ht="15.75" customHeight="1">
      <c r="A5" s="3" t="s">
        <v>419</v>
      </c>
      <c r="B5" s="3">
        <v>0.90600000000000003</v>
      </c>
      <c r="C5" s="3"/>
      <c r="D5" s="3"/>
      <c r="E5" s="3">
        <v>1.0189999999999999</v>
      </c>
    </row>
    <row r="6" spans="1:5" ht="15.75" customHeight="1">
      <c r="A6" s="21" t="s">
        <v>405</v>
      </c>
      <c r="B6" s="3">
        <v>3.2280000000000002</v>
      </c>
      <c r="C6" s="3"/>
      <c r="D6" s="3"/>
      <c r="E6" s="3">
        <v>5.5629999999999997</v>
      </c>
    </row>
    <row r="7" spans="1:5" ht="15.75" customHeight="1">
      <c r="A7" s="3" t="s">
        <v>420</v>
      </c>
      <c r="B7" s="3">
        <v>0.78200000000000003</v>
      </c>
      <c r="C7" s="3"/>
      <c r="D7" s="3"/>
      <c r="E7" s="3">
        <v>0.75900000000000001</v>
      </c>
    </row>
    <row r="8" spans="1:5" ht="15.75" customHeight="1">
      <c r="A8" s="3" t="s">
        <v>421</v>
      </c>
      <c r="B8" s="3">
        <v>2.5259999999999998</v>
      </c>
      <c r="C8" s="3"/>
      <c r="D8" s="3"/>
      <c r="E8" s="3">
        <v>3.391</v>
      </c>
    </row>
    <row r="9" spans="1:5" ht="15.75" customHeight="1">
      <c r="A9" s="3" t="s">
        <v>422</v>
      </c>
      <c r="B9" s="3">
        <v>-8.9999999999999993E-3</v>
      </c>
      <c r="C9" s="3"/>
      <c r="D9" s="3"/>
      <c r="E9" s="3">
        <v>-1.2E-2</v>
      </c>
    </row>
    <row r="10" spans="1:5" ht="15.75" customHeight="1">
      <c r="A10" s="3" t="s">
        <v>423</v>
      </c>
      <c r="B10" s="3">
        <v>7.1999999999999995E-2</v>
      </c>
      <c r="C10" s="3"/>
      <c r="D10" s="3"/>
      <c r="E10" s="3">
        <v>0.122</v>
      </c>
    </row>
    <row r="11" spans="1:5" ht="15.75" customHeight="1">
      <c r="A11" s="21" t="s">
        <v>424</v>
      </c>
      <c r="B11" s="3">
        <v>3.5000000000000003E-2</v>
      </c>
      <c r="C11" s="3"/>
      <c r="D11" s="3"/>
      <c r="E11" s="3">
        <v>0.626</v>
      </c>
    </row>
    <row r="12" spans="1:5" ht="15.75" customHeight="1">
      <c r="A12" s="21" t="s">
        <v>406</v>
      </c>
      <c r="B12" s="3">
        <f>SUM(B5:B11)</f>
        <v>7.54</v>
      </c>
      <c r="E12" s="3">
        <f>SUM(E5:E11)</f>
        <v>11.467999999999998</v>
      </c>
    </row>
    <row r="13" spans="1:5" ht="15.75" customHeight="1">
      <c r="A13" s="21" t="s">
        <v>425</v>
      </c>
      <c r="B13" s="3">
        <f>B4-B12</f>
        <v>-0.79899999999999949</v>
      </c>
      <c r="C13" s="3"/>
      <c r="D13" s="3"/>
      <c r="E13" s="3">
        <f>E4-E12</f>
        <v>-5.5639999999999983</v>
      </c>
    </row>
    <row r="14" spans="1:5" ht="15.75" customHeight="1">
      <c r="A14" s="3" t="s">
        <v>426</v>
      </c>
      <c r="B14" s="3">
        <v>0.20799999999999999</v>
      </c>
      <c r="C14" s="3"/>
      <c r="D14" s="3"/>
      <c r="E14" s="3">
        <v>0.215</v>
      </c>
    </row>
    <row r="15" spans="1:5" ht="15.75" customHeight="1">
      <c r="A15" s="3" t="s">
        <v>427</v>
      </c>
      <c r="B15" s="3">
        <v>-1.353</v>
      </c>
      <c r="C15" s="3"/>
      <c r="D15" s="3"/>
      <c r="E15" s="3">
        <v>0.65700000000000003</v>
      </c>
    </row>
    <row r="16" spans="1:5" ht="15.75" customHeight="1">
      <c r="A16" s="21" t="s">
        <v>394</v>
      </c>
      <c r="B16" s="3">
        <f>B13-B15-B14</f>
        <v>0.34600000000000053</v>
      </c>
      <c r="E16" s="3">
        <f>E13-E15-E14</f>
        <v>-6.4359999999999982</v>
      </c>
    </row>
    <row r="17" spans="1:5" ht="15.75" customHeight="1">
      <c r="A17" s="21" t="s">
        <v>170</v>
      </c>
      <c r="B17" s="3">
        <v>0.36899999999999999</v>
      </c>
      <c r="C17" s="3"/>
      <c r="D17" s="3"/>
      <c r="E17" s="3">
        <v>-0.99099999999999999</v>
      </c>
    </row>
    <row r="18" spans="1:5" ht="15.75" customHeight="1">
      <c r="A18" s="21" t="s">
        <v>38</v>
      </c>
      <c r="B18" s="3">
        <f>B16-B17</f>
        <v>-2.2999999999999465E-2</v>
      </c>
      <c r="E18" s="3">
        <f>E16-E17</f>
        <v>-5.4449999999999985</v>
      </c>
    </row>
    <row r="19" spans="1:5" ht="15.75" customHeight="1">
      <c r="A19" s="21" t="s">
        <v>177</v>
      </c>
      <c r="B19" s="3">
        <v>-0.01</v>
      </c>
      <c r="C19" s="3"/>
      <c r="D19" s="3"/>
      <c r="E19" s="3">
        <v>-2.4300000000000002</v>
      </c>
    </row>
    <row r="25" spans="1:5" ht="15.75" customHeight="1">
      <c r="A25" s="3" t="s">
        <v>181</v>
      </c>
      <c r="B25" s="3">
        <v>51.006999999999998</v>
      </c>
    </row>
    <row r="26" spans="1:5" ht="15.75" customHeight="1">
      <c r="A26" s="3" t="s">
        <v>311</v>
      </c>
      <c r="B26" s="3">
        <v>0.26300000000000001</v>
      </c>
    </row>
    <row r="27" spans="1:5" ht="15.75" customHeight="1">
      <c r="A27" s="3" t="s">
        <v>428</v>
      </c>
      <c r="B27" s="3">
        <v>34.744</v>
      </c>
    </row>
    <row r="28" spans="1:5" ht="15.75" customHeight="1">
      <c r="A28" s="3" t="s">
        <v>429</v>
      </c>
      <c r="B28" s="3">
        <v>1142.9190000000001</v>
      </c>
    </row>
    <row r="29" spans="1:5" ht="15.75" customHeight="1">
      <c r="A29" s="3" t="s">
        <v>430</v>
      </c>
      <c r="B29" s="3">
        <v>4.0069999999999997</v>
      </c>
    </row>
    <row r="30" spans="1:5" ht="15.75" customHeight="1">
      <c r="A30" s="3" t="s">
        <v>431</v>
      </c>
      <c r="B30" s="3">
        <v>3.9750000000000001</v>
      </c>
    </row>
    <row r="31" spans="1:5" ht="15.75" customHeight="1">
      <c r="A31" s="3" t="s">
        <v>432</v>
      </c>
      <c r="B31" s="3">
        <v>0.69699999999999995</v>
      </c>
    </row>
    <row r="32" spans="1:5" ht="15.75" customHeight="1">
      <c r="A32" s="3" t="s">
        <v>433</v>
      </c>
      <c r="B32" s="3">
        <v>1.577</v>
      </c>
    </row>
    <row r="33" spans="1:2" ht="12.5" customHeight="1">
      <c r="A33" s="21" t="s">
        <v>66</v>
      </c>
      <c r="B33" s="3">
        <f>SUM(B25:B32)</f>
        <v>1239.1889999999999</v>
      </c>
    </row>
    <row r="34" spans="1:2" ht="12.5" customHeight="1">
      <c r="A34" s="21" t="s">
        <v>434</v>
      </c>
      <c r="B34" s="3">
        <f>B25+B29+B30+B31+B32</f>
        <v>61.262999999999998</v>
      </c>
    </row>
  </sheetData>
  <phoneticPr fontId="7"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1"/>
  <sheetViews>
    <sheetView workbookViewId="0"/>
  </sheetViews>
  <sheetFormatPr defaultColWidth="12.6328125" defaultRowHeight="15.75" customHeight="1"/>
  <sheetData>
    <row r="1" spans="2:2" ht="15.75" customHeight="1">
      <c r="B1" s="3" t="s">
        <v>11</v>
      </c>
    </row>
  </sheetData>
  <phoneticPr fontId="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PDD 财报</vt:lpstr>
      <vt:lpstr>sea 财报V2</vt:lpstr>
      <vt:lpstr>小鹏汽车</vt:lpstr>
      <vt:lpstr>BTCS</vt:lpstr>
      <vt:lpstr>MicroStrategy</vt:lpstr>
      <vt:lpstr>GTBIF财报</vt:lpstr>
      <vt:lpstr>SIA财报</vt:lpstr>
      <vt:lpstr>Tencent财报</vt:lpstr>
      <vt:lpstr>DOUYU财报</vt:lpstr>
      <vt:lpstr>coinbase</vt:lpstr>
      <vt:lpstr>Bitdeer 财报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晓宇 赵</cp:lastModifiedBy>
  <dcterms:created xsi:type="dcterms:W3CDTF">2026-06-07T16:26:24Z</dcterms:created>
  <dcterms:modified xsi:type="dcterms:W3CDTF">2026-06-07T18:51:16Z</dcterms:modified>
</cp:coreProperties>
</file>